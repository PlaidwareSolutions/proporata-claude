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nawaz/Downloads/"/>
    </mc:Choice>
  </mc:AlternateContent>
  <xr:revisionPtr revIDLastSave="0" documentId="13_ncr:1_{29698792-8DF9-8D4C-AA06-B25C957AA192}" xr6:coauthVersionLast="47" xr6:coauthVersionMax="47" xr10:uidLastSave="{00000000-0000-0000-0000-000000000000}"/>
  <bookViews>
    <workbookView xWindow="0" yWindow="500" windowWidth="35840" windowHeight="20880" activeTab="7" xr2:uid="{00000000-000D-0000-FFFF-FFFF00000000}"/>
  </bookViews>
  <sheets>
    <sheet name="README" sheetId="1" r:id="rId1"/>
    <sheet name="Review_Summary" sheetId="2" r:id="rId2"/>
    <sheet name="Address_Review_List" sheetId="3" r:id="rId3"/>
    <sheet name="Building_Checklist" sheetId="4" r:id="rId4"/>
    <sheet name="Unit_Master" sheetId="5" r:id="rId5"/>
    <sheet name="Board_Dashboard" sheetId="6" r:id="rId6"/>
    <sheet name="Folder_Manifest" sheetId="7" r:id="rId7"/>
    <sheet name="Lists_Control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6" l="1"/>
  <c r="BA2" i="5"/>
  <c r="BA3" i="5"/>
  <c r="BA4" i="5"/>
  <c r="BA5" i="5"/>
  <c r="BA6" i="5"/>
  <c r="BA7" i="5"/>
  <c r="BA8" i="5"/>
  <c r="BA9" i="5"/>
  <c r="BA10" i="5"/>
  <c r="BA11" i="5"/>
  <c r="BA12" i="5"/>
  <c r="BA13" i="5"/>
  <c r="BA14" i="5"/>
  <c r="BA15" i="5"/>
  <c r="BA16" i="5"/>
  <c r="BA17" i="5"/>
  <c r="BA18" i="5"/>
  <c r="BA19" i="5"/>
  <c r="BA20" i="5"/>
  <c r="BA21" i="5"/>
  <c r="BA22" i="5"/>
  <c r="BA23" i="5"/>
  <c r="BA24" i="5"/>
  <c r="BA25" i="5"/>
  <c r="BA26" i="5"/>
  <c r="BA27" i="5"/>
  <c r="BA28" i="5"/>
  <c r="BA29" i="5"/>
  <c r="BA30" i="5"/>
  <c r="BA31" i="5"/>
  <c r="BA32" i="5"/>
  <c r="BA33" i="5"/>
  <c r="BA34" i="5"/>
  <c r="BA35" i="5"/>
  <c r="BA36" i="5"/>
  <c r="BA37" i="5"/>
  <c r="BA38" i="5"/>
  <c r="BA39" i="5"/>
  <c r="BA40" i="5"/>
  <c r="BA41" i="5"/>
  <c r="BA42" i="5"/>
  <c r="BA43" i="5"/>
  <c r="BA44" i="5"/>
  <c r="BA45" i="5"/>
  <c r="BA46" i="5"/>
  <c r="BA47" i="5"/>
  <c r="BA48" i="5"/>
  <c r="BA49" i="5"/>
  <c r="BA50" i="5"/>
  <c r="BA51" i="5"/>
  <c r="BA52" i="5"/>
  <c r="BA53" i="5"/>
  <c r="BA54" i="5"/>
  <c r="BA55" i="5"/>
  <c r="BA56" i="5"/>
  <c r="BA57" i="5"/>
  <c r="BA58" i="5"/>
  <c r="BA59" i="5"/>
  <c r="BA60" i="5"/>
  <c r="BA61" i="5"/>
  <c r="BA62" i="5"/>
  <c r="BA63" i="5"/>
  <c r="BA64" i="5"/>
  <c r="BA65" i="5"/>
  <c r="BA66" i="5"/>
  <c r="BA67" i="5"/>
  <c r="BA68" i="5"/>
  <c r="BA69" i="5"/>
  <c r="BA70" i="5"/>
  <c r="BA71" i="5"/>
  <c r="BA72" i="5"/>
  <c r="BA73" i="5"/>
  <c r="BA74" i="5"/>
  <c r="BA75" i="5"/>
  <c r="BA76" i="5"/>
  <c r="BA77" i="5"/>
  <c r="BA78" i="5"/>
  <c r="BA79" i="5"/>
  <c r="BA80" i="5"/>
  <c r="BA81" i="5"/>
  <c r="BA82" i="5"/>
  <c r="BA83" i="5"/>
  <c r="BA84" i="5"/>
  <c r="BA85" i="5"/>
  <c r="BA86" i="5"/>
  <c r="BA87" i="5"/>
  <c r="BA88" i="5"/>
  <c r="BA89" i="5"/>
  <c r="BA90" i="5"/>
  <c r="B7" i="6" s="1"/>
  <c r="BA91" i="5"/>
  <c r="BA92" i="5"/>
  <c r="BA93" i="5"/>
  <c r="BA94" i="5"/>
  <c r="BA95" i="5"/>
  <c r="BA96" i="5"/>
  <c r="BA97" i="5"/>
  <c r="BA98" i="5"/>
  <c r="BA99" i="5"/>
  <c r="BA100" i="5"/>
  <c r="BA101" i="5"/>
  <c r="BA102" i="5"/>
  <c r="BA103" i="5"/>
  <c r="BA104" i="5"/>
  <c r="BA105" i="5"/>
  <c r="BA106" i="5"/>
  <c r="BA107" i="5"/>
  <c r="BA108" i="5"/>
  <c r="BA109" i="5"/>
  <c r="BA110" i="5"/>
  <c r="BA111" i="5"/>
  <c r="BA112" i="5"/>
  <c r="BA113" i="5"/>
  <c r="BA114" i="5"/>
  <c r="BA115" i="5"/>
  <c r="BA116" i="5"/>
  <c r="BA117" i="5"/>
  <c r="BA118" i="5"/>
  <c r="BA119" i="5"/>
  <c r="BA120" i="5"/>
  <c r="BA121" i="5"/>
  <c r="BA122" i="5"/>
  <c r="BA123" i="5"/>
  <c r="BA124" i="5"/>
  <c r="BA125" i="5"/>
  <c r="BA126" i="5"/>
  <c r="BA127" i="5"/>
  <c r="BA128" i="5"/>
  <c r="BA129" i="5"/>
  <c r="BA130" i="5"/>
  <c r="BA131" i="5"/>
  <c r="BA132" i="5"/>
  <c r="BA133" i="5"/>
  <c r="BA134" i="5"/>
  <c r="BA135" i="5"/>
  <c r="BA136" i="5"/>
  <c r="BA137" i="5"/>
  <c r="BA138" i="5"/>
  <c r="BA139" i="5"/>
  <c r="BA140" i="5"/>
  <c r="BA141" i="5"/>
  <c r="BA142" i="5"/>
  <c r="BA143" i="5"/>
  <c r="BA144" i="5"/>
  <c r="BA145" i="5"/>
  <c r="E6" i="6"/>
  <c r="BB2" i="5"/>
  <c r="BC2" i="5"/>
  <c r="BD2" i="5"/>
  <c r="BC3" i="5"/>
  <c r="BC4" i="5"/>
  <c r="BC5" i="5"/>
  <c r="BC6" i="5"/>
  <c r="BC7" i="5"/>
  <c r="BC8" i="5"/>
  <c r="BC9" i="5"/>
  <c r="BC10" i="5"/>
  <c r="BC11" i="5"/>
  <c r="BC12" i="5"/>
  <c r="BC13" i="5"/>
  <c r="BC14" i="5"/>
  <c r="BC15" i="5"/>
  <c r="BC16" i="5"/>
  <c r="BC17" i="5"/>
  <c r="BC18" i="5"/>
  <c r="BC19" i="5"/>
  <c r="BC20" i="5"/>
  <c r="BC21" i="5"/>
  <c r="BC22" i="5"/>
  <c r="BC23" i="5"/>
  <c r="BC24" i="5"/>
  <c r="BC25" i="5"/>
  <c r="BC26" i="5"/>
  <c r="BC27" i="5"/>
  <c r="BC28" i="5"/>
  <c r="BC29" i="5"/>
  <c r="BC30" i="5"/>
  <c r="BC31" i="5"/>
  <c r="BC32" i="5"/>
  <c r="BC33" i="5"/>
  <c r="BC34" i="5"/>
  <c r="BC35" i="5"/>
  <c r="BC36" i="5"/>
  <c r="BC37" i="5"/>
  <c r="BC38" i="5"/>
  <c r="BC39" i="5"/>
  <c r="BC40" i="5"/>
  <c r="BC41" i="5"/>
  <c r="BC42" i="5"/>
  <c r="BC43" i="5"/>
  <c r="BC44" i="5"/>
  <c r="BC45" i="5"/>
  <c r="BC46" i="5"/>
  <c r="BC47" i="5"/>
  <c r="BC48" i="5"/>
  <c r="BC49" i="5"/>
  <c r="BC50" i="5"/>
  <c r="BC51" i="5"/>
  <c r="BC52" i="5"/>
  <c r="BC53" i="5"/>
  <c r="BC54" i="5"/>
  <c r="BC55" i="5"/>
  <c r="BC56" i="5"/>
  <c r="BC57" i="5"/>
  <c r="BC58" i="5"/>
  <c r="BC59" i="5"/>
  <c r="BC60" i="5"/>
  <c r="BC61" i="5"/>
  <c r="BC62" i="5"/>
  <c r="BC63" i="5"/>
  <c r="BC64" i="5"/>
  <c r="BC65" i="5"/>
  <c r="BC66" i="5"/>
  <c r="BC67" i="5"/>
  <c r="BC68" i="5"/>
  <c r="BC69" i="5"/>
  <c r="BC70" i="5"/>
  <c r="BC71" i="5"/>
  <c r="BC72" i="5"/>
  <c r="BC73" i="5"/>
  <c r="BC74" i="5"/>
  <c r="BC75" i="5"/>
  <c r="BC76" i="5"/>
  <c r="BC77" i="5"/>
  <c r="BC78" i="5"/>
  <c r="BC79" i="5"/>
  <c r="BC80" i="5"/>
  <c r="BC81" i="5"/>
  <c r="BC82" i="5"/>
  <c r="BC83" i="5"/>
  <c r="BC84" i="5"/>
  <c r="BC85" i="5"/>
  <c r="BC86" i="5"/>
  <c r="BC87" i="5"/>
  <c r="BC88" i="5"/>
  <c r="BC89" i="5"/>
  <c r="BC90" i="5"/>
  <c r="BC91" i="5"/>
  <c r="BC92" i="5"/>
  <c r="BC93" i="5"/>
  <c r="BC94" i="5"/>
  <c r="BC95" i="5"/>
  <c r="BC96" i="5"/>
  <c r="BC97" i="5"/>
  <c r="BC98" i="5"/>
  <c r="BC99" i="5"/>
  <c r="BC100" i="5"/>
  <c r="BC101" i="5"/>
  <c r="BC102" i="5"/>
  <c r="BC103" i="5"/>
  <c r="BC104" i="5"/>
  <c r="BC105" i="5"/>
  <c r="BC106" i="5"/>
  <c r="BC107" i="5"/>
  <c r="BC108" i="5"/>
  <c r="BC109" i="5"/>
  <c r="BC110" i="5"/>
  <c r="BC111" i="5"/>
  <c r="BC112" i="5"/>
  <c r="BC113" i="5"/>
  <c r="BC114" i="5"/>
  <c r="BC115" i="5"/>
  <c r="BC116" i="5"/>
  <c r="BC117" i="5"/>
  <c r="BC118" i="5"/>
  <c r="BC119" i="5"/>
  <c r="BC120" i="5"/>
  <c r="BC121" i="5"/>
  <c r="BC122" i="5"/>
  <c r="BC123" i="5"/>
  <c r="BC124" i="5"/>
  <c r="BC125" i="5"/>
  <c r="BC126" i="5"/>
  <c r="BC127" i="5"/>
  <c r="BC128" i="5"/>
  <c r="BC129" i="5"/>
  <c r="BC130" i="5"/>
  <c r="BC131" i="5"/>
  <c r="BC132" i="5"/>
  <c r="BC133" i="5"/>
  <c r="BC134" i="5"/>
  <c r="BC135" i="5"/>
  <c r="BC136" i="5"/>
  <c r="BC137" i="5"/>
  <c r="BC138" i="5"/>
  <c r="BC139" i="5"/>
  <c r="BC140" i="5"/>
  <c r="BC141" i="5"/>
  <c r="BC142" i="5"/>
  <c r="BC143" i="5"/>
  <c r="BC144" i="5"/>
  <c r="BC145" i="5"/>
  <c r="E4" i="6"/>
  <c r="BB3" i="5"/>
  <c r="BB4" i="5"/>
  <c r="BB5" i="5"/>
  <c r="BB6" i="5"/>
  <c r="BB7" i="5"/>
  <c r="BB8" i="5"/>
  <c r="BB9" i="5"/>
  <c r="BB10" i="5"/>
  <c r="BB11" i="5"/>
  <c r="BB12" i="5"/>
  <c r="BB13" i="5"/>
  <c r="BB14" i="5"/>
  <c r="BB15" i="5"/>
  <c r="BB16" i="5"/>
  <c r="BB17" i="5"/>
  <c r="BB18" i="5"/>
  <c r="BB19" i="5"/>
  <c r="BB20" i="5"/>
  <c r="BB21" i="5"/>
  <c r="BB22" i="5"/>
  <c r="BB23" i="5"/>
  <c r="BB24" i="5"/>
  <c r="BB25" i="5"/>
  <c r="BB26" i="5"/>
  <c r="BB27" i="5"/>
  <c r="BB28" i="5"/>
  <c r="BB29" i="5"/>
  <c r="BB30" i="5"/>
  <c r="BB31" i="5"/>
  <c r="BB32" i="5"/>
  <c r="BB33" i="5"/>
  <c r="BB34" i="5"/>
  <c r="BB35" i="5"/>
  <c r="BB36" i="5"/>
  <c r="BB37" i="5"/>
  <c r="BB38" i="5"/>
  <c r="BB39" i="5"/>
  <c r="BB40" i="5"/>
  <c r="BB41" i="5"/>
  <c r="BB42" i="5"/>
  <c r="BB43" i="5"/>
  <c r="BB44" i="5"/>
  <c r="BB45" i="5"/>
  <c r="BB46" i="5"/>
  <c r="BB47" i="5"/>
  <c r="BB48" i="5"/>
  <c r="BB49" i="5"/>
  <c r="BB50" i="5"/>
  <c r="BB51" i="5"/>
  <c r="BB52" i="5"/>
  <c r="BB53" i="5"/>
  <c r="BB54" i="5"/>
  <c r="BB55" i="5"/>
  <c r="BB56" i="5"/>
  <c r="BB57" i="5"/>
  <c r="BB58" i="5"/>
  <c r="BB59" i="5"/>
  <c r="BB60" i="5"/>
  <c r="BB61" i="5"/>
  <c r="BB62" i="5"/>
  <c r="BB63" i="5"/>
  <c r="BB64" i="5"/>
  <c r="BB65" i="5"/>
  <c r="BB66" i="5"/>
  <c r="BB67" i="5"/>
  <c r="BB68" i="5"/>
  <c r="BB69" i="5"/>
  <c r="BB70" i="5"/>
  <c r="BB71" i="5"/>
  <c r="BB72" i="5"/>
  <c r="BB73" i="5"/>
  <c r="BB74" i="5"/>
  <c r="BB75" i="5"/>
  <c r="BB76" i="5"/>
  <c r="BB77" i="5"/>
  <c r="BB78" i="5"/>
  <c r="BB79" i="5"/>
  <c r="BB80" i="5"/>
  <c r="BB81" i="5"/>
  <c r="BB82" i="5"/>
  <c r="BB83" i="5"/>
  <c r="BB84" i="5"/>
  <c r="BB85" i="5"/>
  <c r="BB86" i="5"/>
  <c r="BB87" i="5"/>
  <c r="BB88" i="5"/>
  <c r="BB89" i="5"/>
  <c r="BB90" i="5"/>
  <c r="BB91" i="5"/>
  <c r="BB92" i="5"/>
  <c r="BB93" i="5"/>
  <c r="BB94" i="5"/>
  <c r="BB95" i="5"/>
  <c r="BB96" i="5"/>
  <c r="BB97" i="5"/>
  <c r="BB98" i="5"/>
  <c r="BB99" i="5"/>
  <c r="BB100" i="5"/>
  <c r="BB101" i="5"/>
  <c r="BB102" i="5"/>
  <c r="BB103" i="5"/>
  <c r="BB104" i="5"/>
  <c r="BB105" i="5"/>
  <c r="BB106" i="5"/>
  <c r="BB107" i="5"/>
  <c r="BB108" i="5"/>
  <c r="BB109" i="5"/>
  <c r="BB110" i="5"/>
  <c r="BB111" i="5"/>
  <c r="BB112" i="5"/>
  <c r="BB113" i="5"/>
  <c r="BB114" i="5"/>
  <c r="BB115" i="5"/>
  <c r="BB116" i="5"/>
  <c r="BB117" i="5"/>
  <c r="BB118" i="5"/>
  <c r="BB119" i="5"/>
  <c r="BB120" i="5"/>
  <c r="BB121" i="5"/>
  <c r="BB122" i="5"/>
  <c r="BB123" i="5"/>
  <c r="BB124" i="5"/>
  <c r="BB125" i="5"/>
  <c r="BB126" i="5"/>
  <c r="BB127" i="5"/>
  <c r="BB128" i="5"/>
  <c r="BB129" i="5"/>
  <c r="BB130" i="5"/>
  <c r="BB131" i="5"/>
  <c r="BB132" i="5"/>
  <c r="BB133" i="5"/>
  <c r="BB134" i="5"/>
  <c r="BB135" i="5"/>
  <c r="BB136" i="5"/>
  <c r="BB137" i="5"/>
  <c r="BB138" i="5"/>
  <c r="BB139" i="5"/>
  <c r="BB140" i="5"/>
  <c r="BB141" i="5"/>
  <c r="BB142" i="5"/>
  <c r="BB143" i="5"/>
  <c r="BB144" i="5"/>
  <c r="BB145" i="5"/>
  <c r="E3" i="6"/>
  <c r="B3" i="6"/>
  <c r="BD145" i="5"/>
  <c r="AZ145" i="5"/>
  <c r="BD144" i="5"/>
  <c r="AZ144" i="5"/>
  <c r="BD143" i="5"/>
  <c r="AZ143" i="5"/>
  <c r="BD142" i="5"/>
  <c r="AZ142" i="5"/>
  <c r="BD141" i="5"/>
  <c r="AZ141" i="5"/>
  <c r="BD140" i="5"/>
  <c r="AZ140" i="5"/>
  <c r="BD139" i="5"/>
  <c r="AZ139" i="5"/>
  <c r="BD138" i="5"/>
  <c r="AZ138" i="5"/>
  <c r="BD137" i="5"/>
  <c r="AZ137" i="5"/>
  <c r="BD136" i="5"/>
  <c r="AZ136" i="5"/>
  <c r="BD135" i="5"/>
  <c r="AZ135" i="5"/>
  <c r="BD134" i="5"/>
  <c r="AZ134" i="5"/>
  <c r="BD133" i="5"/>
  <c r="AZ133" i="5"/>
  <c r="BD132" i="5"/>
  <c r="AZ132" i="5"/>
  <c r="BD131" i="5"/>
  <c r="AZ131" i="5"/>
  <c r="BD130" i="5"/>
  <c r="AZ130" i="5"/>
  <c r="BD129" i="5"/>
  <c r="AZ129" i="5"/>
  <c r="BD128" i="5"/>
  <c r="AZ128" i="5"/>
  <c r="BD127" i="5"/>
  <c r="AZ127" i="5"/>
  <c r="BD126" i="5"/>
  <c r="AZ126" i="5"/>
  <c r="BD125" i="5"/>
  <c r="AZ125" i="5"/>
  <c r="BD124" i="5"/>
  <c r="AZ124" i="5"/>
  <c r="BD123" i="5"/>
  <c r="AZ123" i="5"/>
  <c r="BD122" i="5"/>
  <c r="AZ122" i="5"/>
  <c r="BD121" i="5"/>
  <c r="AZ121" i="5"/>
  <c r="BD120" i="5"/>
  <c r="AZ120" i="5"/>
  <c r="BD119" i="5"/>
  <c r="AZ119" i="5"/>
  <c r="BD118" i="5"/>
  <c r="AZ118" i="5"/>
  <c r="BD117" i="5"/>
  <c r="AZ117" i="5"/>
  <c r="BD116" i="5"/>
  <c r="AZ116" i="5"/>
  <c r="BD115" i="5"/>
  <c r="AZ115" i="5"/>
  <c r="BD114" i="5"/>
  <c r="AZ114" i="5"/>
  <c r="BD113" i="5"/>
  <c r="AZ113" i="5"/>
  <c r="BD112" i="5"/>
  <c r="AZ112" i="5"/>
  <c r="BD111" i="5"/>
  <c r="AZ111" i="5"/>
  <c r="BD110" i="5"/>
  <c r="AZ110" i="5"/>
  <c r="BD109" i="5"/>
  <c r="AZ109" i="5"/>
  <c r="BD108" i="5"/>
  <c r="AZ108" i="5"/>
  <c r="BD107" i="5"/>
  <c r="AZ107" i="5"/>
  <c r="BD106" i="5"/>
  <c r="AZ106" i="5"/>
  <c r="BD105" i="5"/>
  <c r="AZ105" i="5"/>
  <c r="BD104" i="5"/>
  <c r="AZ104" i="5"/>
  <c r="BD103" i="5"/>
  <c r="AZ103" i="5"/>
  <c r="BD102" i="5"/>
  <c r="AZ102" i="5"/>
  <c r="BD101" i="5"/>
  <c r="AZ101" i="5"/>
  <c r="BD100" i="5"/>
  <c r="AZ100" i="5"/>
  <c r="BD99" i="5"/>
  <c r="AZ99" i="5"/>
  <c r="BD98" i="5"/>
  <c r="AZ98" i="5"/>
  <c r="BD97" i="5"/>
  <c r="AZ97" i="5"/>
  <c r="BD96" i="5"/>
  <c r="AZ96" i="5"/>
  <c r="BD95" i="5"/>
  <c r="AZ95" i="5"/>
  <c r="BD94" i="5"/>
  <c r="AZ94" i="5"/>
  <c r="BD93" i="5"/>
  <c r="AZ93" i="5"/>
  <c r="BD92" i="5"/>
  <c r="AZ92" i="5"/>
  <c r="BD91" i="5"/>
  <c r="AZ91" i="5"/>
  <c r="BD90" i="5"/>
  <c r="AZ90" i="5"/>
  <c r="BD89" i="5"/>
  <c r="AZ89" i="5"/>
  <c r="BD88" i="5"/>
  <c r="AZ88" i="5"/>
  <c r="BD87" i="5"/>
  <c r="AZ87" i="5"/>
  <c r="BD86" i="5"/>
  <c r="AZ86" i="5"/>
  <c r="BD85" i="5"/>
  <c r="AZ85" i="5"/>
  <c r="BD84" i="5"/>
  <c r="AZ84" i="5"/>
  <c r="BD83" i="5"/>
  <c r="AZ83" i="5"/>
  <c r="BD82" i="5"/>
  <c r="AZ82" i="5"/>
  <c r="BD81" i="5"/>
  <c r="AZ81" i="5"/>
  <c r="BD80" i="5"/>
  <c r="AZ80" i="5"/>
  <c r="BD79" i="5"/>
  <c r="AZ79" i="5"/>
  <c r="BD78" i="5"/>
  <c r="AZ78" i="5"/>
  <c r="BD77" i="5"/>
  <c r="AZ77" i="5"/>
  <c r="BD76" i="5"/>
  <c r="AZ76" i="5"/>
  <c r="BD75" i="5"/>
  <c r="AZ75" i="5"/>
  <c r="BD74" i="5"/>
  <c r="AZ74" i="5"/>
  <c r="BD73" i="5"/>
  <c r="AZ73" i="5"/>
  <c r="BD72" i="5"/>
  <c r="AZ72" i="5"/>
  <c r="BD71" i="5"/>
  <c r="AZ71" i="5"/>
  <c r="BD70" i="5"/>
  <c r="AZ70" i="5"/>
  <c r="BD69" i="5"/>
  <c r="AZ69" i="5"/>
  <c r="BD68" i="5"/>
  <c r="AZ68" i="5"/>
  <c r="BD67" i="5"/>
  <c r="AZ67" i="5"/>
  <c r="BD66" i="5"/>
  <c r="AZ66" i="5"/>
  <c r="BD65" i="5"/>
  <c r="AZ65" i="5"/>
  <c r="BD64" i="5"/>
  <c r="AZ64" i="5"/>
  <c r="BD63" i="5"/>
  <c r="AZ63" i="5"/>
  <c r="BD62" i="5"/>
  <c r="AZ62" i="5"/>
  <c r="BD61" i="5"/>
  <c r="AZ61" i="5"/>
  <c r="BD60" i="5"/>
  <c r="AZ60" i="5"/>
  <c r="BD59" i="5"/>
  <c r="AZ59" i="5"/>
  <c r="BD58" i="5"/>
  <c r="AZ58" i="5"/>
  <c r="BD57" i="5"/>
  <c r="AZ57" i="5"/>
  <c r="BD56" i="5"/>
  <c r="AZ56" i="5"/>
  <c r="BD55" i="5"/>
  <c r="AZ55" i="5"/>
  <c r="BD54" i="5"/>
  <c r="AZ54" i="5"/>
  <c r="BD53" i="5"/>
  <c r="AZ53" i="5"/>
  <c r="BD52" i="5"/>
  <c r="AZ52" i="5"/>
  <c r="BD51" i="5"/>
  <c r="AZ51" i="5"/>
  <c r="BD50" i="5"/>
  <c r="AZ50" i="5"/>
  <c r="BD49" i="5"/>
  <c r="AZ49" i="5"/>
  <c r="BD48" i="5"/>
  <c r="AZ48" i="5"/>
  <c r="BD47" i="5"/>
  <c r="AZ47" i="5"/>
  <c r="BD46" i="5"/>
  <c r="AZ46" i="5"/>
  <c r="BD45" i="5"/>
  <c r="AZ45" i="5"/>
  <c r="BD44" i="5"/>
  <c r="AZ44" i="5"/>
  <c r="BD43" i="5"/>
  <c r="AZ43" i="5"/>
  <c r="BD42" i="5"/>
  <c r="AZ42" i="5"/>
  <c r="BD41" i="5"/>
  <c r="AZ41" i="5"/>
  <c r="BD40" i="5"/>
  <c r="AZ40" i="5"/>
  <c r="BD39" i="5"/>
  <c r="AZ39" i="5"/>
  <c r="BD38" i="5"/>
  <c r="AZ38" i="5"/>
  <c r="BD37" i="5"/>
  <c r="AZ37" i="5"/>
  <c r="BD36" i="5"/>
  <c r="AZ36" i="5"/>
  <c r="BD35" i="5"/>
  <c r="AZ35" i="5"/>
  <c r="BD34" i="5"/>
  <c r="AZ34" i="5"/>
  <c r="BD33" i="5"/>
  <c r="AZ33" i="5"/>
  <c r="BD32" i="5"/>
  <c r="AZ32" i="5"/>
  <c r="BD31" i="5"/>
  <c r="AZ31" i="5"/>
  <c r="BD30" i="5"/>
  <c r="AZ30" i="5"/>
  <c r="BD29" i="5"/>
  <c r="AZ29" i="5"/>
  <c r="BD28" i="5"/>
  <c r="AZ28" i="5"/>
  <c r="BD27" i="5"/>
  <c r="AZ27" i="5"/>
  <c r="BD26" i="5"/>
  <c r="AZ26" i="5"/>
  <c r="BD25" i="5"/>
  <c r="AZ25" i="5"/>
  <c r="BD24" i="5"/>
  <c r="AZ24" i="5"/>
  <c r="BD23" i="5"/>
  <c r="AZ23" i="5"/>
  <c r="BD22" i="5"/>
  <c r="AZ22" i="5"/>
  <c r="BD21" i="5"/>
  <c r="AZ21" i="5"/>
  <c r="BD20" i="5"/>
  <c r="AZ20" i="5"/>
  <c r="BD19" i="5"/>
  <c r="AZ19" i="5"/>
  <c r="BD18" i="5"/>
  <c r="AZ18" i="5"/>
  <c r="BD17" i="5"/>
  <c r="AZ17" i="5"/>
  <c r="BD16" i="5"/>
  <c r="AZ16" i="5"/>
  <c r="BD15" i="5"/>
  <c r="AZ15" i="5"/>
  <c r="BD14" i="5"/>
  <c r="AZ14" i="5"/>
  <c r="BD13" i="5"/>
  <c r="AZ13" i="5"/>
  <c r="BD12" i="5"/>
  <c r="AZ12" i="5"/>
  <c r="BD11" i="5"/>
  <c r="AZ11" i="5"/>
  <c r="BD10" i="5"/>
  <c r="AZ10" i="5"/>
  <c r="BD9" i="5"/>
  <c r="AZ9" i="5"/>
  <c r="BD8" i="5"/>
  <c r="AZ8" i="5"/>
  <c r="BD7" i="5"/>
  <c r="AZ7" i="5"/>
  <c r="BD6" i="5"/>
  <c r="AZ6" i="5"/>
  <c r="BD5" i="5"/>
  <c r="AZ5" i="5"/>
  <c r="BD4" i="5"/>
  <c r="AZ4" i="5"/>
  <c r="BD3" i="5"/>
  <c r="AZ3" i="5"/>
  <c r="AZ2" i="5"/>
  <c r="B8" i="2"/>
  <c r="B7" i="2"/>
  <c r="B6" i="2"/>
  <c r="B5" i="2"/>
  <c r="BE74" i="5" l="1"/>
  <c r="BE81" i="5"/>
  <c r="BE2" i="5"/>
  <c r="BE9" i="5"/>
  <c r="BE19" i="5"/>
  <c r="BE49" i="5"/>
  <c r="BE69" i="5"/>
  <c r="BE73" i="5"/>
  <c r="BE78" i="5"/>
  <c r="BE52" i="5"/>
  <c r="BE62" i="5"/>
  <c r="BE65" i="5"/>
  <c r="BE70" i="5"/>
  <c r="BE79" i="5"/>
  <c r="BE53" i="5"/>
  <c r="BE135" i="5"/>
  <c r="BF19" i="5"/>
  <c r="BE101" i="5"/>
  <c r="BF65" i="5"/>
  <c r="BE99" i="5"/>
  <c r="BE107" i="5"/>
  <c r="BE111" i="5"/>
  <c r="BE77" i="5"/>
  <c r="BE114" i="5"/>
  <c r="BE64" i="5"/>
  <c r="BF111" i="5"/>
  <c r="BE123" i="5"/>
  <c r="BE139" i="5"/>
  <c r="BE17" i="5"/>
  <c r="BE10" i="5"/>
  <c r="BE106" i="5"/>
  <c r="BE119" i="5"/>
  <c r="BE138" i="5"/>
  <c r="BE42" i="5"/>
  <c r="BE55" i="5"/>
  <c r="BE105" i="5"/>
  <c r="BE83" i="5"/>
  <c r="BE87" i="5"/>
  <c r="BE103" i="5"/>
  <c r="BE11" i="5"/>
  <c r="BE88" i="5"/>
  <c r="BE89" i="5"/>
  <c r="BE90" i="5"/>
  <c r="BE91" i="5"/>
  <c r="BE92" i="5"/>
  <c r="BE94" i="5"/>
  <c r="BE95" i="5"/>
  <c r="BE96" i="5"/>
  <c r="BE97" i="5"/>
  <c r="BE86" i="5"/>
  <c r="BE117" i="5"/>
  <c r="BE142" i="5"/>
  <c r="BE20" i="5"/>
  <c r="BE13" i="5"/>
  <c r="BE27" i="5"/>
  <c r="BE38" i="5"/>
  <c r="BE102" i="5"/>
  <c r="BE109" i="5"/>
  <c r="BE12" i="5"/>
  <c r="BF135" i="5"/>
  <c r="BF103" i="5"/>
  <c r="BF69" i="5"/>
  <c r="BE45" i="5"/>
  <c r="BE57" i="5"/>
  <c r="BE76" i="5"/>
  <c r="BF2" i="5"/>
  <c r="BF96" i="5"/>
  <c r="BF73" i="5"/>
  <c r="BF70" i="5"/>
  <c r="BF11" i="5"/>
  <c r="BF86" i="5"/>
  <c r="BE54" i="5"/>
  <c r="BE121" i="5"/>
  <c r="BE128" i="5"/>
  <c r="BE85" i="5"/>
  <c r="BF105" i="5"/>
  <c r="BF53" i="5"/>
  <c r="BF89" i="5"/>
  <c r="BF92" i="5"/>
  <c r="BF20" i="5"/>
  <c r="BE93" i="5"/>
  <c r="BE3" i="5"/>
  <c r="BE33" i="5"/>
  <c r="BE98" i="5"/>
  <c r="BE100" i="5"/>
  <c r="BE104" i="5"/>
  <c r="BE108" i="5"/>
  <c r="BE110" i="5"/>
  <c r="BE143" i="5"/>
  <c r="BE16" i="5"/>
  <c r="BE58" i="5"/>
  <c r="BE131" i="5"/>
  <c r="BF98" i="5"/>
  <c r="BF38" i="5"/>
  <c r="BF52" i="5"/>
  <c r="BF101" i="5"/>
  <c r="BF131" i="5"/>
  <c r="BF9" i="5"/>
  <c r="BF94" i="5"/>
  <c r="BF143" i="5"/>
  <c r="B6" i="6"/>
  <c r="BE7" i="5"/>
  <c r="BF110" i="5"/>
  <c r="BE84" i="5"/>
  <c r="BE14" i="5"/>
  <c r="BE116" i="5"/>
  <c r="BE124" i="5"/>
  <c r="BE50" i="5"/>
  <c r="BF109" i="5"/>
  <c r="BF74" i="5"/>
  <c r="BE18" i="5"/>
  <c r="BF85" i="5"/>
  <c r="BF90" i="5"/>
  <c r="BF7" i="5"/>
  <c r="BF50" i="5"/>
  <c r="BE112" i="5"/>
  <c r="BE113" i="5"/>
  <c r="BE115" i="5"/>
  <c r="BE118" i="5"/>
  <c r="BE120" i="5"/>
  <c r="BE122" i="5"/>
  <c r="BE126" i="5"/>
  <c r="BE136" i="5"/>
  <c r="BE140" i="5"/>
  <c r="BE6" i="5"/>
  <c r="BE47" i="5"/>
  <c r="BE127" i="5"/>
  <c r="BE133" i="5"/>
  <c r="BF33" i="5"/>
  <c r="BE134" i="5"/>
  <c r="BF117" i="5"/>
  <c r="BE8" i="5"/>
  <c r="BF81" i="5"/>
  <c r="BF47" i="5"/>
  <c r="BF88" i="5"/>
  <c r="BE30" i="5"/>
  <c r="BF79" i="5"/>
  <c r="BF138" i="5"/>
  <c r="BE51" i="5"/>
  <c r="BF76" i="5"/>
  <c r="BF16" i="5"/>
  <c r="BE125" i="5"/>
  <c r="BE129" i="5"/>
  <c r="BE21" i="5"/>
  <c r="BF116" i="5"/>
  <c r="BF93" i="5"/>
  <c r="BE40" i="5"/>
  <c r="BF6" i="5"/>
  <c r="BF10" i="5"/>
  <c r="BF13" i="5"/>
  <c r="BF57" i="5"/>
  <c r="BE24" i="5"/>
  <c r="BE26" i="5"/>
  <c r="BE29" i="5"/>
  <c r="BE35" i="5"/>
  <c r="BE67" i="5"/>
  <c r="BE144" i="5"/>
  <c r="BF42" i="5"/>
  <c r="BE48" i="5"/>
  <c r="BE61" i="5"/>
  <c r="BE71" i="5"/>
  <c r="BF99" i="5"/>
  <c r="BF35" i="5"/>
  <c r="BE15" i="5"/>
  <c r="BE132" i="5"/>
  <c r="BF120" i="5"/>
  <c r="BE5" i="5"/>
  <c r="BF54" i="5"/>
  <c r="BE80" i="5"/>
  <c r="BF112" i="5"/>
  <c r="BF12" i="5"/>
  <c r="BF119" i="5"/>
  <c r="BE137" i="5"/>
  <c r="BE141" i="5"/>
  <c r="BE145" i="5"/>
  <c r="BE63" i="5"/>
  <c r="BE68" i="5"/>
  <c r="BE82" i="5"/>
  <c r="E5" i="6"/>
  <c r="BF55" i="5"/>
  <c r="BE36" i="5"/>
  <c r="BF104" i="5"/>
  <c r="BE22" i="5"/>
  <c r="BF107" i="5"/>
  <c r="BE130" i="5"/>
  <c r="BF91" i="5"/>
  <c r="BF139" i="5"/>
  <c r="BF78" i="5"/>
  <c r="BF140" i="5"/>
  <c r="BF64" i="5"/>
  <c r="BF48" i="5"/>
  <c r="BE32" i="5"/>
  <c r="BF115" i="5"/>
  <c r="BF29" i="5"/>
  <c r="BF36" i="5"/>
  <c r="BF123" i="5"/>
  <c r="BE44" i="5"/>
  <c r="BE59" i="5"/>
  <c r="BF133" i="5"/>
  <c r="B5" i="6"/>
  <c r="BF71" i="5"/>
  <c r="BF106" i="5"/>
  <c r="BF3" i="5"/>
  <c r="BF22" i="5"/>
  <c r="BF5" i="5"/>
  <c r="BE28" i="5"/>
  <c r="BE34" i="5"/>
  <c r="BE39" i="5"/>
  <c r="BF84" i="5"/>
  <c r="BF87" i="5"/>
  <c r="BF14" i="5"/>
  <c r="BF28" i="5"/>
  <c r="BF62" i="5"/>
  <c r="BF58" i="5"/>
  <c r="BF130" i="5"/>
  <c r="BF126" i="5"/>
  <c r="BF134" i="5"/>
  <c r="BF121" i="5"/>
  <c r="BF128" i="5"/>
  <c r="BE60" i="5"/>
  <c r="BF49" i="5"/>
  <c r="BF18" i="5"/>
  <c r="BF39" i="5"/>
  <c r="BF127" i="5"/>
  <c r="BF118" i="5"/>
  <c r="B4" i="6"/>
  <c r="BE25" i="5"/>
  <c r="BE31" i="5"/>
  <c r="BE37" i="5"/>
  <c r="BF144" i="5"/>
  <c r="BF82" i="5"/>
  <c r="BF141" i="5"/>
  <c r="BE23" i="5"/>
  <c r="BF102" i="5"/>
  <c r="BF30" i="5"/>
  <c r="BF24" i="5"/>
  <c r="BF77" i="5"/>
  <c r="BF108" i="5"/>
  <c r="BE43" i="5"/>
  <c r="BE56" i="5"/>
  <c r="BE66" i="5"/>
  <c r="BF95" i="5"/>
  <c r="BF34" i="5"/>
  <c r="BF40" i="5"/>
  <c r="BF23" i="5"/>
  <c r="BF113" i="5"/>
  <c r="BE72" i="5"/>
  <c r="BF137" i="5"/>
  <c r="BF8" i="5"/>
  <c r="BF26" i="5"/>
  <c r="BF114" i="5"/>
  <c r="BF129" i="5"/>
  <c r="BF31" i="5"/>
  <c r="BF125" i="5"/>
  <c r="BF145" i="5"/>
  <c r="BF124" i="5"/>
  <c r="BF21" i="5"/>
  <c r="BF68" i="5"/>
  <c r="BF17" i="5"/>
  <c r="BF122" i="5"/>
  <c r="BF15" i="5"/>
  <c r="BF63" i="5"/>
  <c r="BF37" i="5"/>
  <c r="BF132" i="5"/>
  <c r="BF67" i="5"/>
  <c r="BF32" i="5"/>
  <c r="BE4" i="5"/>
  <c r="BE41" i="5"/>
  <c r="BE46" i="5"/>
  <c r="BE75" i="5"/>
  <c r="BF83" i="5"/>
  <c r="BF27" i="5"/>
  <c r="BF43" i="5"/>
  <c r="BF142" i="5"/>
  <c r="BF97" i="5"/>
  <c r="BF45" i="5"/>
  <c r="BF51" i="5"/>
  <c r="BF59" i="5"/>
  <c r="BF46" i="5"/>
  <c r="BF100" i="5"/>
  <c r="BF4" i="5"/>
  <c r="BF66" i="5"/>
  <c r="BF61" i="5"/>
  <c r="BF136" i="5"/>
  <c r="BF80" i="5"/>
  <c r="BF56" i="5"/>
  <c r="BF44" i="5"/>
  <c r="BF41" i="5"/>
  <c r="BF75" i="5"/>
  <c r="BF60" i="5"/>
  <c r="BF25" i="5"/>
  <c r="BF7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78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Plat-derived mapping needs human verification before final deployment.</t>
        </r>
      </text>
    </comment>
    <comment ref="H79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Plat-derived mapping needs human verification before final deployment.</t>
        </r>
      </text>
    </comment>
    <comment ref="H80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Plat-derived mapping needs human verification before final deployment.</t>
        </r>
      </text>
    </comment>
    <comment ref="H8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Plat-derived mapping needs human verification before final deployment.</t>
        </r>
      </text>
    </comment>
    <comment ref="H82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Plat-derived mapping needs human verification before final deployment.</t>
        </r>
      </text>
    </comment>
    <comment ref="H83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Plat-derived mapping needs human verification before final deployment.</t>
        </r>
      </text>
    </comment>
    <comment ref="H9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Plat-derived mapping needs human verification before final deployment.</t>
        </r>
      </text>
    </comment>
    <comment ref="H95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Plat-derived mapping needs human verification before final deployment.</t>
        </r>
      </text>
    </comment>
    <comment ref="H96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Plat-derived mapping needs human verification before final deployment.</t>
        </r>
      </text>
    </comment>
    <comment ref="H97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Plat-derived mapping needs human verification before final deployment.</t>
        </r>
      </text>
    </comment>
    <comment ref="H98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Plat-derived mapping needs human verification before final deployment.</t>
        </r>
      </text>
    </comment>
    <comment ref="H99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Plat-derived mapping needs human verification before final deployment.</t>
        </r>
      </text>
    </comment>
    <comment ref="H117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Plat-derived mapping needs human verification before final deployment.</t>
        </r>
      </text>
    </comment>
    <comment ref="H118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Plat-derived mapping needs human verification before final deployment.</t>
        </r>
      </text>
    </comment>
    <comment ref="H119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Plat-derived mapping needs human verification before final deployment.</t>
        </r>
      </text>
    </comment>
    <comment ref="H120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Plat-derived mapping needs human verification before final deployment.</t>
        </r>
      </text>
    </comment>
    <comment ref="H121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Plat-derived mapping needs human verification before final deployment.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Reviewed and corrected/added during tracker cleanup on 2026-04-12.</t>
        </r>
      </text>
    </comment>
    <comment ref="E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Reviewed and corrected/added during tracker cleanup on 2026-04-12.</t>
        </r>
      </text>
    </comment>
    <comment ref="E5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Reviewed and corrected/added during tracker cleanup on 2026-04-12.</t>
        </r>
      </text>
    </comment>
    <comment ref="E6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Reviewed and corrected/added during tracker cleanup on 2026-04-12.</t>
        </r>
      </text>
    </comment>
    <comment ref="E7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Reviewed and corrected/added during tracker cleanup on 2026-04-12.</t>
        </r>
      </text>
    </comment>
  </commentList>
</comments>
</file>

<file path=xl/sharedStrings.xml><?xml version="1.0" encoding="utf-8"?>
<sst xmlns="http://schemas.openxmlformats.org/spreadsheetml/2006/main" count="3770" uniqueCount="726">
  <si>
    <t>Ready-to-deploy package overview</t>
  </si>
  <si>
    <t>1. This workbook is the operating index for all 144 townhome units.</t>
  </si>
  <si>
    <t>2. The folder tree mirrors the plat by building, then by unit address.</t>
  </si>
  <si>
    <t>3. Unit_Master is the main working sheet. Blue cells are user inputs. Black cells are formulas.</t>
  </si>
  <si>
    <t>4. Board_Dashboard summarizes immediate action, follow-up, and complete units.</t>
  </si>
  <si>
    <t>5. Buildings 14, 17, and 21 include addresses inferred from the plat image and should be verified before final rollout.</t>
  </si>
  <si>
    <t>4. Review_Summary, Address_Review_List, and Building_Checklist were added during cleanup to speed board verification.</t>
  </si>
  <si>
    <t>5. Board_Dashboard formulas for insurance renewal and acknowledgment exceptions were corrected.</t>
  </si>
  <si>
    <t>6. Review-flagged rows are highlighted in Unit_Master and should be confirmed before live deployment.</t>
  </si>
  <si>
    <t>QVTH Tracker Review Summary</t>
  </si>
  <si>
    <t>Review date</t>
  </si>
  <si>
    <t>2026-04-12</t>
  </si>
  <si>
    <t>Source workbook</t>
  </si>
  <si>
    <t>QVTH_Master_Tracker.xlsx</t>
  </si>
  <si>
    <t>Total units</t>
  </si>
  <si>
    <t>Total buildings</t>
  </si>
  <si>
    <t>Addresses flagged for review</t>
  </si>
  <si>
    <t>Buildings with at least 1 review item</t>
  </si>
  <si>
    <t>Primary review focus</t>
  </si>
  <si>
    <t>Buildings 14, 17, and 21</t>
  </si>
  <si>
    <t>Recommended next step</t>
  </si>
  <si>
    <t>Verify flagged rows against plat/deed/tax records before live Google Drive rollout</t>
  </si>
  <si>
    <t>What was cleaned</t>
  </si>
  <si>
    <t>• Confirmed workbook structure and preserved all 144 unit records.</t>
  </si>
  <si>
    <t>• Corrected Board_Dashboard formulas for insurance and acknowledgment metrics.</t>
  </si>
  <si>
    <t>• Separated review rows into a dedicated exception list for faster board verification.</t>
  </si>
  <si>
    <t>• Highlighted all review-flagged rows in Unit_Master for easier screening.</t>
  </si>
  <si>
    <t>Unit ID</t>
  </si>
  <si>
    <t>Building No.</t>
  </si>
  <si>
    <t>Street</t>
  </si>
  <si>
    <t>House No.</t>
  </si>
  <si>
    <t>Draft Unit Address</t>
  </si>
  <si>
    <t>Folder Relative Path</t>
  </si>
  <si>
    <t>Current Flag</t>
  </si>
  <si>
    <t>Verification Needed</t>
  </si>
  <si>
    <t>Recommended Source</t>
  </si>
  <si>
    <t>Reviewer Decision</t>
  </si>
  <si>
    <t>Verified Building No.</t>
  </si>
  <si>
    <t>Verified Unit Address</t>
  </si>
  <si>
    <t>Notes</t>
  </si>
  <si>
    <t>B14-U01</t>
  </si>
  <si>
    <t>Princess Lane</t>
  </si>
  <si>
    <t>2513 Princess Lane</t>
  </si>
  <si>
    <t>02_UNITS_BY_BUILDING/Building_14/2513_Princess_Ln</t>
  </si>
  <si>
    <t>Review</t>
  </si>
  <si>
    <t>Confirm building/address match from plat and ownership records</t>
  </si>
  <si>
    <t>Plat image + county tax/deed record</t>
  </si>
  <si>
    <t>B14-U02</t>
  </si>
  <si>
    <t>2515 Princess Lane</t>
  </si>
  <si>
    <t>02_UNITS_BY_BUILDING/Building_14/2515_Princess_Ln</t>
  </si>
  <si>
    <t>B14-U03</t>
  </si>
  <si>
    <t>2517 Princess Lane</t>
  </si>
  <si>
    <t>02_UNITS_BY_BUILDING/Building_14/2517_Princess_Ln</t>
  </si>
  <si>
    <t>B14-U04</t>
  </si>
  <si>
    <t>2519 Princess Lane</t>
  </si>
  <si>
    <t>02_UNITS_BY_BUILDING/Building_14/2519_Princess_Ln</t>
  </si>
  <si>
    <t>B14-U05</t>
  </si>
  <si>
    <t>2521 Princess Lane</t>
  </si>
  <si>
    <t>02_UNITS_BY_BUILDING/Building_14/2521_Princess_Ln</t>
  </si>
  <si>
    <t>B14-U06</t>
  </si>
  <si>
    <t>2523 Princess Lane</t>
  </si>
  <si>
    <t>02_UNITS_BY_BUILDING/Building_14/2523_Princess_Ln</t>
  </si>
  <si>
    <t>B17-U01</t>
  </si>
  <si>
    <t>Yorktown Lane</t>
  </si>
  <si>
    <t>2613 Yorktown Lane</t>
  </si>
  <si>
    <t>02_UNITS_BY_BUILDING/Building_17/2613_Yorktown_Ln</t>
  </si>
  <si>
    <t>B17-U02</t>
  </si>
  <si>
    <t>2615 Yorktown Lane</t>
  </si>
  <si>
    <t>02_UNITS_BY_BUILDING/Building_17/2615_Yorktown_Ln</t>
  </si>
  <si>
    <t>B17-U03</t>
  </si>
  <si>
    <t>2617 Yorktown Lane</t>
  </si>
  <si>
    <t>02_UNITS_BY_BUILDING/Building_17/2617_Yorktown_Ln</t>
  </si>
  <si>
    <t>B17-U04</t>
  </si>
  <si>
    <t>2619 Yorktown Lane</t>
  </si>
  <si>
    <t>02_UNITS_BY_BUILDING/Building_17/2619_Yorktown_Ln</t>
  </si>
  <si>
    <t>B17-U05</t>
  </si>
  <si>
    <t>2621 Yorktown Lane</t>
  </si>
  <si>
    <t>02_UNITS_BY_BUILDING/Building_17/2621_Yorktown_Ln</t>
  </si>
  <si>
    <t>B17-U06</t>
  </si>
  <si>
    <t>2623 Yorktown Lane</t>
  </si>
  <si>
    <t>02_UNITS_BY_BUILDING/Building_17/2623_Yorktown_Ln</t>
  </si>
  <si>
    <t>B21-U01</t>
  </si>
  <si>
    <t>2818 Princess Lane</t>
  </si>
  <si>
    <t>02_UNITS_BY_BUILDING/Building_21/2818_Princess_Ln</t>
  </si>
  <si>
    <t>B21-U02</t>
  </si>
  <si>
    <t>2820 Princess Lane</t>
  </si>
  <si>
    <t>02_UNITS_BY_BUILDING/Building_21/2820_Princess_Ln</t>
  </si>
  <si>
    <t>B21-U03</t>
  </si>
  <si>
    <t>2822 Princess Lane</t>
  </si>
  <si>
    <t>02_UNITS_BY_BUILDING/Building_21/2822_Princess_Ln</t>
  </si>
  <si>
    <t>B21-U04</t>
  </si>
  <si>
    <t>2824 Princess Lane</t>
  </si>
  <si>
    <t>02_UNITS_BY_BUILDING/Building_21/2824_Princess_Ln</t>
  </si>
  <si>
    <t>B21-U05</t>
  </si>
  <si>
    <t>2826 Princess Lane</t>
  </si>
  <si>
    <t>02_UNITS_BY_BUILDING/Building_21/2826_Princess_Ln</t>
  </si>
  <si>
    <t>Unit Count</t>
  </si>
  <si>
    <t>Address Range</t>
  </si>
  <si>
    <t>Review Count</t>
  </si>
  <si>
    <t>Review Needed?</t>
  </si>
  <si>
    <t>2402 Hampshire Lane to 2414 Hampshire Lane</t>
  </si>
  <si>
    <t>No</t>
  </si>
  <si>
    <t>2502 Hampshire Lane to 2512 Hampshire Lane</t>
  </si>
  <si>
    <t>2930 Camelot Lane to 2940 Camelot Lane</t>
  </si>
  <si>
    <t>2716 Camelot Lane to 2726 Camelot Lane</t>
  </si>
  <si>
    <t>2902 Camelot Lane to 2910 Camelot Lane</t>
  </si>
  <si>
    <t>2816 Camelot Lane to 2826 Camelot Lane</t>
  </si>
  <si>
    <t>2802 Camelot Lane to 2812 Camelot Lane</t>
  </si>
  <si>
    <t>2803 Camelot Lane to 2815 Camelot Lane</t>
  </si>
  <si>
    <t>2819 Camelot Lane to 2829 Camelot Lane</t>
  </si>
  <si>
    <t>2911 Camelot Lane to 2919 Camelot Lane</t>
  </si>
  <si>
    <t>2921 Camelot Lane to 2931 Camelot Lane</t>
  </si>
  <si>
    <t>2912 Nottingham Lane to 2920 Nottingham Lane</t>
  </si>
  <si>
    <t>2902 Nottingham Lane to 2910 Nottingham Lane</t>
  </si>
  <si>
    <t>2513 Princess Lane to 2523 Princess Lane</t>
  </si>
  <si>
    <t>Yes</t>
  </si>
  <si>
    <t>Verify this building before final rollout</t>
  </si>
  <si>
    <t>2802 Nottingham Lane to 2810 Nottingham Lane</t>
  </si>
  <si>
    <t>2603 Yorktown Lane to 2611 Yorktown Lane</t>
  </si>
  <si>
    <t>2613 Yorktown Lane to 2623 Yorktown Lane</t>
  </si>
  <si>
    <t>2803 Cambridge Lane to 2813 Cambridge Lane</t>
  </si>
  <si>
    <t>2817 Cambridge Lane to 2827 Cambridge Lane</t>
  </si>
  <si>
    <t>2806 Cambridge Lane to 2814 Cambridge Lane</t>
  </si>
  <si>
    <t>2818 Princess Lane to 2826 Princess Lane</t>
  </si>
  <si>
    <t>2602 Princess Lane to 2614 Princess Lane</t>
  </si>
  <si>
    <t>2903 Nottingham Lane to 2911 Nottingham Lane</t>
  </si>
  <si>
    <t>2913 Nottingham Lane to 2923 Nottingham Lane</t>
  </si>
  <si>
    <t>2910 Nottingham Lane to 2920 Nottingham Lane</t>
  </si>
  <si>
    <t>Unit Address</t>
  </si>
  <si>
    <t>Folder Name</t>
  </si>
  <si>
    <t>Address Verification Flag</t>
  </si>
  <si>
    <t>Owner Last Name</t>
  </si>
  <si>
    <t>Owner First Name</t>
  </si>
  <si>
    <t>Entity/Trust Name</t>
  </si>
  <si>
    <t>Mailing Street</t>
  </si>
  <si>
    <t>Mailing City</t>
  </si>
  <si>
    <t>Mailing State</t>
  </si>
  <si>
    <t>Mailing ZIP</t>
  </si>
  <si>
    <t>Owner Email Primary</t>
  </si>
  <si>
    <t>Owner Email Secondary</t>
  </si>
  <si>
    <t>Owner Phone Primary</t>
  </si>
  <si>
    <t>Owner Phone Secondary</t>
  </si>
  <si>
    <t>Emergency Contact Name</t>
  </si>
  <si>
    <t>Emergency Contact Phone</t>
  </si>
  <si>
    <t>Occupancy Type</t>
  </si>
  <si>
    <t>Tenant Name</t>
  </si>
  <si>
    <t>Tenant Email</t>
  </si>
  <si>
    <t>Tenant Phone</t>
  </si>
  <si>
    <t>Insurance on File</t>
  </si>
  <si>
    <t>Declarations Page on File</t>
  </si>
  <si>
    <t>Insurance Carrier</t>
  </si>
  <si>
    <t>Policy Number</t>
  </si>
  <si>
    <t>Policy Effective Date</t>
  </si>
  <si>
    <t>Policy Expiration Date</t>
  </si>
  <si>
    <t>Liability Coverage Verified</t>
  </si>
  <si>
    <t>Dwelling Coverage Verified</t>
  </si>
  <si>
    <t>Loss Assessment Verified</t>
  </si>
  <si>
    <t>Water Backup Verified</t>
  </si>
  <si>
    <t>Insurance Acknowledgment Signed</t>
  </si>
  <si>
    <t>Rules Acknowledgment Signed</t>
  </si>
  <si>
    <t>Signature/Checkoff Complete</t>
  </si>
  <si>
    <t>Renter Registration Complete</t>
  </si>
  <si>
    <t>Last Roof Inspection Date</t>
  </si>
  <si>
    <t>Roof Condition</t>
  </si>
  <si>
    <t>Active Leak/Open Roof Issue</t>
  </si>
  <si>
    <t>Last Roof Repair Date</t>
  </si>
  <si>
    <t>Roof Replacement Date</t>
  </si>
  <si>
    <t>Roof Warranty Expiration</t>
  </si>
  <si>
    <t>Open Compliance Case</t>
  </si>
  <si>
    <t>Compliance Case Type</t>
  </si>
  <si>
    <t>Board Review Needed</t>
  </si>
  <si>
    <t>Last Updated By</t>
  </si>
  <si>
    <t>Last Updated Date</t>
  </si>
  <si>
    <t>Unit Notes</t>
  </si>
  <si>
    <t>Owner Contact Status</t>
  </si>
  <si>
    <t>Insurance Status</t>
  </si>
  <si>
    <t>Acknowledgment Status</t>
  </si>
  <si>
    <t>Roof Action Status</t>
  </si>
  <si>
    <t>Compliance Status</t>
  </si>
  <si>
    <t>Overall Board Action</t>
  </si>
  <si>
    <t>Priority Score</t>
  </si>
  <si>
    <t>B01-U01</t>
  </si>
  <si>
    <t>Hampshire Lane</t>
  </si>
  <si>
    <t>2402 Hampshire Lane</t>
  </si>
  <si>
    <t>02_UNITS_BY_BUILDING/Building_01/2402_Hampshire_Ln</t>
  </si>
  <si>
    <t>2402_Hampshire_Ln</t>
  </si>
  <si>
    <t>OK</t>
  </si>
  <si>
    <t>Owner Occupied</t>
  </si>
  <si>
    <t>Healthy</t>
  </si>
  <si>
    <t>B01-U02</t>
  </si>
  <si>
    <t>2404 Hampshire Lane</t>
  </si>
  <si>
    <t>02_UNITS_BY_BUILDING/Building_01/2404_Hampshire_Ln</t>
  </si>
  <si>
    <t>2404_Hampshire_Ln</t>
  </si>
  <si>
    <t>B01-U03</t>
  </si>
  <si>
    <t>2406 Hampshire Lane</t>
  </si>
  <si>
    <t>02_UNITS_BY_BUILDING/Building_01/2406_Hampshire_Ln</t>
  </si>
  <si>
    <t>2406_Hampshire_Ln</t>
  </si>
  <si>
    <t>B01-U04</t>
  </si>
  <si>
    <t>2408 Hampshire Lane</t>
  </si>
  <si>
    <t>02_UNITS_BY_BUILDING/Building_01/2408_Hampshire_Ln</t>
  </si>
  <si>
    <t>2408_Hampshire_Ln</t>
  </si>
  <si>
    <t>B01-U05</t>
  </si>
  <si>
    <t>2410 Hampshire Lane</t>
  </si>
  <si>
    <t>02_UNITS_BY_BUILDING/Building_01/2410_Hampshire_Ln</t>
  </si>
  <si>
    <t>2410_Hampshire_Ln</t>
  </si>
  <si>
    <t>B01-U06</t>
  </si>
  <si>
    <t>2412 Hampshire Lane</t>
  </si>
  <si>
    <t>02_UNITS_BY_BUILDING/Building_01/2412_Hampshire_Ln</t>
  </si>
  <si>
    <t>2412_Hampshire_Ln</t>
  </si>
  <si>
    <t>B01-U07</t>
  </si>
  <si>
    <t>2414 Hampshire Lane</t>
  </si>
  <si>
    <t>02_UNITS_BY_BUILDING/Building_01/2414_Hampshire_Ln</t>
  </si>
  <si>
    <t>2414_Hampshire_Ln</t>
  </si>
  <si>
    <t>B02-U01</t>
  </si>
  <si>
    <t>2502 Hampshire Lane</t>
  </si>
  <si>
    <t>02_UNITS_BY_BUILDING/Building_02/2502_Hampshire_Ln</t>
  </si>
  <si>
    <t>2502_Hampshire_Ln</t>
  </si>
  <si>
    <t>B02-U02</t>
  </si>
  <si>
    <t>2504 Hampshire Lane</t>
  </si>
  <si>
    <t>02_UNITS_BY_BUILDING/Building_02/2504_Hampshire_Ln</t>
  </si>
  <si>
    <t>2504_Hampshire_Ln</t>
  </si>
  <si>
    <t>B02-U03</t>
  </si>
  <si>
    <t>2506 Hampshire Lane</t>
  </si>
  <si>
    <t>02_UNITS_BY_BUILDING/Building_02/2506_Hampshire_Ln</t>
  </si>
  <si>
    <t>2506_Hampshire_Ln</t>
  </si>
  <si>
    <t>B02-U04</t>
  </si>
  <si>
    <t>2508 Hampshire Lane</t>
  </si>
  <si>
    <t>02_UNITS_BY_BUILDING/Building_02/2508_Hampshire_Ln</t>
  </si>
  <si>
    <t>2508_Hampshire_Ln</t>
  </si>
  <si>
    <t>B02-U05</t>
  </si>
  <si>
    <t>2510 Hampshire Lane</t>
  </si>
  <si>
    <t>02_UNITS_BY_BUILDING/Building_02/2510_Hampshire_Ln</t>
  </si>
  <si>
    <t>2510_Hampshire_Ln</t>
  </si>
  <si>
    <t>B02-U06</t>
  </si>
  <si>
    <t>2512 Hampshire Lane</t>
  </si>
  <si>
    <t>02_UNITS_BY_BUILDING/Building_02/2512_Hampshire_Ln</t>
  </si>
  <si>
    <t>2512_Hampshire_Ln</t>
  </si>
  <si>
    <t>B03-U01</t>
  </si>
  <si>
    <t>Camelot Lane</t>
  </si>
  <si>
    <t>2930 Camelot Lane</t>
  </si>
  <si>
    <t>02_UNITS_BY_BUILDING/Building_03/2930_Camelot_Ln</t>
  </si>
  <si>
    <t>2930_Camelot_Ln</t>
  </si>
  <si>
    <t>B03-U02</t>
  </si>
  <si>
    <t>2932 Camelot Lane</t>
  </si>
  <si>
    <t>02_UNITS_BY_BUILDING/Building_03/2932_Camelot_Ln</t>
  </si>
  <si>
    <t>2932_Camelot_Ln</t>
  </si>
  <si>
    <t>B03-U03</t>
  </si>
  <si>
    <t>2934 Camelot Lane</t>
  </si>
  <si>
    <t>02_UNITS_BY_BUILDING/Building_03/2934_Camelot_Ln</t>
  </si>
  <si>
    <t>2934_Camelot_Ln</t>
  </si>
  <si>
    <t>B03-U04</t>
  </si>
  <si>
    <t>2936 Camelot Lane</t>
  </si>
  <si>
    <t>02_UNITS_BY_BUILDING/Building_03/2936_Camelot_Ln</t>
  </si>
  <si>
    <t>2936_Camelot_Ln</t>
  </si>
  <si>
    <t>B03-U05</t>
  </si>
  <si>
    <t>2938 Camelot Lane</t>
  </si>
  <si>
    <t>02_UNITS_BY_BUILDING/Building_03/2938_Camelot_Ln</t>
  </si>
  <si>
    <t>2938_Camelot_Ln</t>
  </si>
  <si>
    <t>B03-U06</t>
  </si>
  <si>
    <t>2940 Camelot Lane</t>
  </si>
  <si>
    <t>02_UNITS_BY_BUILDING/Building_03/2940_Camelot_Ln</t>
  </si>
  <si>
    <t>2940_Camelot_Ln</t>
  </si>
  <si>
    <t>B04-U01</t>
  </si>
  <si>
    <t>2716 Camelot Lane</t>
  </si>
  <si>
    <t>02_UNITS_BY_BUILDING/Building_04/2716_Camelot_Ln</t>
  </si>
  <si>
    <t>2716_Camelot_Ln</t>
  </si>
  <si>
    <t>B04-U02</t>
  </si>
  <si>
    <t>2718 Camelot Lane</t>
  </si>
  <si>
    <t>02_UNITS_BY_BUILDING/Building_04/2718_Camelot_Ln</t>
  </si>
  <si>
    <t>2718_Camelot_Ln</t>
  </si>
  <si>
    <t>B04-U03</t>
  </si>
  <si>
    <t>2720 Camelot Lane</t>
  </si>
  <si>
    <t>02_UNITS_BY_BUILDING/Building_04/2720_Camelot_Ln</t>
  </si>
  <si>
    <t>2720_Camelot_Ln</t>
  </si>
  <si>
    <t>B04-U04</t>
  </si>
  <si>
    <t>2722 Camelot Lane</t>
  </si>
  <si>
    <t>02_UNITS_BY_BUILDING/Building_04/2722_Camelot_Ln</t>
  </si>
  <si>
    <t>2722_Camelot_Ln</t>
  </si>
  <si>
    <t>B04-U05</t>
  </si>
  <si>
    <t>2724 Camelot Lane</t>
  </si>
  <si>
    <t>02_UNITS_BY_BUILDING/Building_04/2724_Camelot_Ln</t>
  </si>
  <si>
    <t>2724_Camelot_Ln</t>
  </si>
  <si>
    <t>B04-U06</t>
  </si>
  <si>
    <t>2726 Camelot Lane</t>
  </si>
  <si>
    <t>02_UNITS_BY_BUILDING/Building_04/2726_Camelot_Ln</t>
  </si>
  <si>
    <t>2726_Camelot_Ln</t>
  </si>
  <si>
    <t>B05-U01</t>
  </si>
  <si>
    <t>2902 Camelot Lane</t>
  </si>
  <si>
    <t>02_UNITS_BY_BUILDING/Building_05/2902_Camelot_Ln</t>
  </si>
  <si>
    <t>2902_Camelot_Ln</t>
  </si>
  <si>
    <t>B05-U02</t>
  </si>
  <si>
    <t>2904 Camelot Lane</t>
  </si>
  <si>
    <t>02_UNITS_BY_BUILDING/Building_05/2904_Camelot_Ln</t>
  </si>
  <si>
    <t>2904_Camelot_Ln</t>
  </si>
  <si>
    <t>B05-U03</t>
  </si>
  <si>
    <t>2906 Camelot Lane</t>
  </si>
  <si>
    <t>02_UNITS_BY_BUILDING/Building_05/2906_Camelot_Ln</t>
  </si>
  <si>
    <t>2906_Camelot_Ln</t>
  </si>
  <si>
    <t>B05-U04</t>
  </si>
  <si>
    <t>2908 Camelot Lane</t>
  </si>
  <si>
    <t>02_UNITS_BY_BUILDING/Building_05/2908_Camelot_Ln</t>
  </si>
  <si>
    <t>2908_Camelot_Ln</t>
  </si>
  <si>
    <t>B05-U05</t>
  </si>
  <si>
    <t>2910 Camelot Lane</t>
  </si>
  <si>
    <t>02_UNITS_BY_BUILDING/Building_05/2910_Camelot_Ln</t>
  </si>
  <si>
    <t>2910_Camelot_Ln</t>
  </si>
  <si>
    <t>B06-U01</t>
  </si>
  <si>
    <t>2816 Camelot Lane</t>
  </si>
  <si>
    <t>02_UNITS_BY_BUILDING/Building_06/2816_Camelot_Ln</t>
  </si>
  <si>
    <t>2816_Camelot_Ln</t>
  </si>
  <si>
    <t>B06-U02</t>
  </si>
  <si>
    <t>2818 Camelot Lane</t>
  </si>
  <si>
    <t>02_UNITS_BY_BUILDING/Building_06/2818_Camelot_Ln</t>
  </si>
  <si>
    <t>2818_Camelot_Ln</t>
  </si>
  <si>
    <t>B06-U03</t>
  </si>
  <si>
    <t>2820 Camelot Lane</t>
  </si>
  <si>
    <t>02_UNITS_BY_BUILDING/Building_06/2820_Camelot_Ln</t>
  </si>
  <si>
    <t>2820_Camelot_Ln</t>
  </si>
  <si>
    <t>B06-U04</t>
  </si>
  <si>
    <t>2822 Camelot Lane</t>
  </si>
  <si>
    <t>02_UNITS_BY_BUILDING/Building_06/2822_Camelot_Ln</t>
  </si>
  <si>
    <t>2822_Camelot_Ln</t>
  </si>
  <si>
    <t>B06-U05</t>
  </si>
  <si>
    <t>2824 Camelot Lane</t>
  </si>
  <si>
    <t>02_UNITS_BY_BUILDING/Building_06/2824_Camelot_Ln</t>
  </si>
  <si>
    <t>2824_Camelot_Ln</t>
  </si>
  <si>
    <t>B06-U06</t>
  </si>
  <si>
    <t>2826 Camelot Lane</t>
  </si>
  <si>
    <t>02_UNITS_BY_BUILDING/Building_06/2826_Camelot_Ln</t>
  </si>
  <si>
    <t>2826_Camelot_Ln</t>
  </si>
  <si>
    <t>B07-U01</t>
  </si>
  <si>
    <t>2802 Camelot Lane</t>
  </si>
  <si>
    <t>02_UNITS_BY_BUILDING/Building_07/2802_Camelot_Ln</t>
  </si>
  <si>
    <t>2802_Camelot_Ln</t>
  </si>
  <si>
    <t>B07-U02</t>
  </si>
  <si>
    <t>2804 Camelot Lane</t>
  </si>
  <si>
    <t>02_UNITS_BY_BUILDING/Building_07/2804_Camelot_Ln</t>
  </si>
  <si>
    <t>2804_Camelot_Ln</t>
  </si>
  <si>
    <t>B07-U03</t>
  </si>
  <si>
    <t>2806 Camelot Lane</t>
  </si>
  <si>
    <t>02_UNITS_BY_BUILDING/Building_07/2806_Camelot_Ln</t>
  </si>
  <si>
    <t>2806_Camelot_Ln</t>
  </si>
  <si>
    <t>B07-U04</t>
  </si>
  <si>
    <t>2808 Camelot Lane</t>
  </si>
  <si>
    <t>02_UNITS_BY_BUILDING/Building_07/2808_Camelot_Ln</t>
  </si>
  <si>
    <t>2808_Camelot_Ln</t>
  </si>
  <si>
    <t>B07-U05</t>
  </si>
  <si>
    <t>2810 Camelot Lane</t>
  </si>
  <si>
    <t>02_UNITS_BY_BUILDING/Building_07/2810_Camelot_Ln</t>
  </si>
  <si>
    <t>2810_Camelot_Ln</t>
  </si>
  <si>
    <t>B07-U06</t>
  </si>
  <si>
    <t>2812 Camelot Lane</t>
  </si>
  <si>
    <t>02_UNITS_BY_BUILDING/Building_07/2812_Camelot_Ln</t>
  </si>
  <si>
    <t>2812_Camelot_Ln</t>
  </si>
  <si>
    <t>B08-U01</t>
  </si>
  <si>
    <t>2803 Camelot Lane</t>
  </si>
  <si>
    <t>02_UNITS_BY_BUILDING/Building_08/2803_Camelot_Ln</t>
  </si>
  <si>
    <t>2803_Camelot_Ln</t>
  </si>
  <si>
    <t>B08-U02</t>
  </si>
  <si>
    <t>2805 Camelot Lane</t>
  </si>
  <si>
    <t>02_UNITS_BY_BUILDING/Building_08/2805_Camelot_Ln</t>
  </si>
  <si>
    <t>2805_Camelot_Ln</t>
  </si>
  <si>
    <t>B08-U03</t>
  </si>
  <si>
    <t>2807 Camelot Lane</t>
  </si>
  <si>
    <t>02_UNITS_BY_BUILDING/Building_08/2807_Camelot_Ln</t>
  </si>
  <si>
    <t>2807_Camelot_Ln</t>
  </si>
  <si>
    <t>B08-U04</t>
  </si>
  <si>
    <t>2809 Camelot Lane</t>
  </si>
  <si>
    <t>02_UNITS_BY_BUILDING/Building_08/2809_Camelot_Ln</t>
  </si>
  <si>
    <t>2809_Camelot_Ln</t>
  </si>
  <si>
    <t>B08-U05</t>
  </si>
  <si>
    <t>2811 Camelot Lane</t>
  </si>
  <si>
    <t>02_UNITS_BY_BUILDING/Building_08/2811_Camelot_Ln</t>
  </si>
  <si>
    <t>2811_Camelot_Ln</t>
  </si>
  <si>
    <t>B08-U06</t>
  </si>
  <si>
    <t>2813 Camelot Lane</t>
  </si>
  <si>
    <t>02_UNITS_BY_BUILDING/Building_08/2813_Camelot_Ln</t>
  </si>
  <si>
    <t>2813_Camelot_Ln</t>
  </si>
  <si>
    <t>B08-U07</t>
  </si>
  <si>
    <t>2815 Camelot Lane</t>
  </si>
  <si>
    <t>02_UNITS_BY_BUILDING/Building_08/2815_Camelot_Ln</t>
  </si>
  <si>
    <t>2815_Camelot_Ln</t>
  </si>
  <si>
    <t>B09-U01</t>
  </si>
  <si>
    <t>2819 Camelot Lane</t>
  </si>
  <si>
    <t>02_UNITS_BY_BUILDING/Building_09/2819_Camelot_Ln</t>
  </si>
  <si>
    <t>2819_Camelot_Ln</t>
  </si>
  <si>
    <t>B09-U02</t>
  </si>
  <si>
    <t>2821 Camelot Lane</t>
  </si>
  <si>
    <t>02_UNITS_BY_BUILDING/Building_09/2821_Camelot_Ln</t>
  </si>
  <si>
    <t>2821_Camelot_Ln</t>
  </si>
  <si>
    <t>B09-U03</t>
  </si>
  <si>
    <t>2823 Camelot Lane</t>
  </si>
  <si>
    <t>02_UNITS_BY_BUILDING/Building_09/2823_Camelot_Ln</t>
  </si>
  <si>
    <t>2823_Camelot_Ln</t>
  </si>
  <si>
    <t>B09-U04</t>
  </si>
  <si>
    <t>2825 Camelot Lane</t>
  </si>
  <si>
    <t>02_UNITS_BY_BUILDING/Building_09/2825_Camelot_Ln</t>
  </si>
  <si>
    <t>2825_Camelot_Ln</t>
  </si>
  <si>
    <t>B09-U05</t>
  </si>
  <si>
    <t>2827 Camelot Lane</t>
  </si>
  <si>
    <t>02_UNITS_BY_BUILDING/Building_09/2827_Camelot_Ln</t>
  </si>
  <si>
    <t>2827_Camelot_Ln</t>
  </si>
  <si>
    <t>B09-U06</t>
  </si>
  <si>
    <t>2829 Camelot Lane</t>
  </si>
  <si>
    <t>02_UNITS_BY_BUILDING/Building_09/2829_Camelot_Ln</t>
  </si>
  <si>
    <t>2829_Camelot_Ln</t>
  </si>
  <si>
    <t>B10-U01</t>
  </si>
  <si>
    <t>2911 Camelot Lane</t>
  </si>
  <si>
    <t>02_UNITS_BY_BUILDING/Building_10/2911_Camelot_Ln</t>
  </si>
  <si>
    <t>2911_Camelot_Ln</t>
  </si>
  <si>
    <t>B10-U02</t>
  </si>
  <si>
    <t>2913 Camelot Lane</t>
  </si>
  <si>
    <t>02_UNITS_BY_BUILDING/Building_10/2913_Camelot_Ln</t>
  </si>
  <si>
    <t>2913_Camelot_Ln</t>
  </si>
  <si>
    <t>B10-U03</t>
  </si>
  <si>
    <t>2915 Camelot Lane</t>
  </si>
  <si>
    <t>02_UNITS_BY_BUILDING/Building_10/2915_Camelot_Ln</t>
  </si>
  <si>
    <t>2915_Camelot_Ln</t>
  </si>
  <si>
    <t>B10-U04</t>
  </si>
  <si>
    <t>2917 Camelot Lane</t>
  </si>
  <si>
    <t>02_UNITS_BY_BUILDING/Building_10/2917_Camelot_Ln</t>
  </si>
  <si>
    <t>2917_Camelot_Ln</t>
  </si>
  <si>
    <t>B10-U05</t>
  </si>
  <si>
    <t>2919 Camelot Lane</t>
  </si>
  <si>
    <t>02_UNITS_BY_BUILDING/Building_10/2919_Camelot_Ln</t>
  </si>
  <si>
    <t>2919_Camelot_Ln</t>
  </si>
  <si>
    <t>B11-U01</t>
  </si>
  <si>
    <t>2921 Camelot Lane</t>
  </si>
  <si>
    <t>02_UNITS_BY_BUILDING/Building_11/2921_Camelot_Ln</t>
  </si>
  <si>
    <t>2921_Camelot_Ln</t>
  </si>
  <si>
    <t>B11-U02</t>
  </si>
  <si>
    <t>2923 Camelot Lane</t>
  </si>
  <si>
    <t>02_UNITS_BY_BUILDING/Building_11/2923_Camelot_Ln</t>
  </si>
  <si>
    <t>2923_Camelot_Ln</t>
  </si>
  <si>
    <t>B11-U03</t>
  </si>
  <si>
    <t>2925 Camelot Lane</t>
  </si>
  <si>
    <t>02_UNITS_BY_BUILDING/Building_11/2925_Camelot_Ln</t>
  </si>
  <si>
    <t>2925_Camelot_Ln</t>
  </si>
  <si>
    <t>B11-U04</t>
  </si>
  <si>
    <t>2927 Camelot Lane</t>
  </si>
  <si>
    <t>02_UNITS_BY_BUILDING/Building_11/2927_Camelot_Ln</t>
  </si>
  <si>
    <t>2927_Camelot_Ln</t>
  </si>
  <si>
    <t>B11-U05</t>
  </si>
  <si>
    <t>2929 Camelot Lane</t>
  </si>
  <si>
    <t>02_UNITS_BY_BUILDING/Building_11/2929_Camelot_Ln</t>
  </si>
  <si>
    <t>2929_Camelot_Ln</t>
  </si>
  <si>
    <t>B11-U06</t>
  </si>
  <si>
    <t>2931 Camelot Lane</t>
  </si>
  <si>
    <t>02_UNITS_BY_BUILDING/Building_11/2931_Camelot_Ln</t>
  </si>
  <si>
    <t>2931_Camelot_Ln</t>
  </si>
  <si>
    <t>B12-U01</t>
  </si>
  <si>
    <t>Nottingham Lane</t>
  </si>
  <si>
    <t>2912 Nottingham Lane</t>
  </si>
  <si>
    <t>02_UNITS_BY_BUILDING/Building_12/2912_Nottingham_Ln</t>
  </si>
  <si>
    <t>2912_Nottingham_Ln</t>
  </si>
  <si>
    <t>B12-U02</t>
  </si>
  <si>
    <t>2914 Nottingham Lane</t>
  </si>
  <si>
    <t>02_UNITS_BY_BUILDING/Building_12/2914_Nottingham_Ln</t>
  </si>
  <si>
    <t>2914_Nottingham_Ln</t>
  </si>
  <si>
    <t>B12-U03</t>
  </si>
  <si>
    <t>2916 Nottingham Lane</t>
  </si>
  <si>
    <t>02_UNITS_BY_BUILDING/Building_12/2916_Nottingham_Ln</t>
  </si>
  <si>
    <t>2916_Nottingham_Ln</t>
  </si>
  <si>
    <t>B12-U04</t>
  </si>
  <si>
    <t>2918 Nottingham Lane</t>
  </si>
  <si>
    <t>02_UNITS_BY_BUILDING/Building_12/2918_Nottingham_Ln</t>
  </si>
  <si>
    <t>2918_Nottingham_Ln</t>
  </si>
  <si>
    <t>B12-U05</t>
  </si>
  <si>
    <t>2920 Nottingham Lane</t>
  </si>
  <si>
    <t>02_UNITS_BY_BUILDING/Building_12/2920_Nottingham_Ln</t>
  </si>
  <si>
    <t>2920_Nottingham_Ln</t>
  </si>
  <si>
    <t>B13-U01</t>
  </si>
  <si>
    <t>2902 Nottingham Lane</t>
  </si>
  <si>
    <t>02_UNITS_BY_BUILDING/Building_13/2902_Nottingham_Ln</t>
  </si>
  <si>
    <t>2902_Nottingham_Ln</t>
  </si>
  <si>
    <t>B13-U02</t>
  </si>
  <si>
    <t>2904 Nottingham Lane</t>
  </si>
  <si>
    <t>02_UNITS_BY_BUILDING/Building_13/2904_Nottingham_Ln</t>
  </si>
  <si>
    <t>2904_Nottingham_Ln</t>
  </si>
  <si>
    <t>B13-U03</t>
  </si>
  <si>
    <t>2906 Nottingham Lane</t>
  </si>
  <si>
    <t>02_UNITS_BY_BUILDING/Building_13/2906_Nottingham_Ln</t>
  </si>
  <si>
    <t>2906_Nottingham_Ln</t>
  </si>
  <si>
    <t>B13-U04</t>
  </si>
  <si>
    <t>2908 Nottingham Lane</t>
  </si>
  <si>
    <t>02_UNITS_BY_BUILDING/Building_13/2908_Nottingham_Ln</t>
  </si>
  <si>
    <t>2908_Nottingham_Ln</t>
  </si>
  <si>
    <t>B13-U05</t>
  </si>
  <si>
    <t>2910 Nottingham Lane</t>
  </si>
  <si>
    <t>02_UNITS_BY_BUILDING/Building_13/2910_Nottingham_Ln</t>
  </si>
  <si>
    <t>2910_Nottingham_Ln</t>
  </si>
  <si>
    <t>2513_Princess_Ln</t>
  </si>
  <si>
    <t>2515_Princess_Ln</t>
  </si>
  <si>
    <t>2517_Princess_Ln</t>
  </si>
  <si>
    <t>2519_Princess_Ln</t>
  </si>
  <si>
    <t>2521_Princess_Ln</t>
  </si>
  <si>
    <t>2523_Princess_Ln</t>
  </si>
  <si>
    <t>B15-U01</t>
  </si>
  <si>
    <t>2802 Nottingham Lane</t>
  </si>
  <si>
    <t>02_UNITS_BY_BUILDING/Building_15/2802_Nottingham_Ln</t>
  </si>
  <si>
    <t>2802_Nottingham_Ln</t>
  </si>
  <si>
    <t>B15-U02</t>
  </si>
  <si>
    <t>2804 Nottingham Lane</t>
  </si>
  <si>
    <t>02_UNITS_BY_BUILDING/Building_15/2804_Nottingham_Ln</t>
  </si>
  <si>
    <t>2804_Nottingham_Ln</t>
  </si>
  <si>
    <t>B15-U03</t>
  </si>
  <si>
    <t>2806 Nottingham Lane</t>
  </si>
  <si>
    <t>02_UNITS_BY_BUILDING/Building_15/2806_Nottingham_Ln</t>
  </si>
  <si>
    <t>2806_Nottingham_Ln</t>
  </si>
  <si>
    <t>B15-U04</t>
  </si>
  <si>
    <t>2808 Nottingham Lane</t>
  </si>
  <si>
    <t>02_UNITS_BY_BUILDING/Building_15/2808_Nottingham_Ln</t>
  </si>
  <si>
    <t>2808_Nottingham_Ln</t>
  </si>
  <si>
    <t>B15-U05</t>
  </si>
  <si>
    <t>2810 Nottingham Lane</t>
  </si>
  <si>
    <t>02_UNITS_BY_BUILDING/Building_15/2810_Nottingham_Ln</t>
  </si>
  <si>
    <t>2810_Nottingham_Ln</t>
  </si>
  <si>
    <t>B16-U01</t>
  </si>
  <si>
    <t>2603 Yorktown Lane</t>
  </si>
  <si>
    <t>02_UNITS_BY_BUILDING/Building_16/2603_Yorktown_Ln</t>
  </si>
  <si>
    <t>2603_Yorktown_Ln</t>
  </si>
  <si>
    <t>B16-U02</t>
  </si>
  <si>
    <t>2605 Yorktown Lane</t>
  </si>
  <si>
    <t>02_UNITS_BY_BUILDING/Building_16/2605_Yorktown_Ln</t>
  </si>
  <si>
    <t>2605_Yorktown_Ln</t>
  </si>
  <si>
    <t>B16-U03</t>
  </si>
  <si>
    <t>2607 Yorktown Lane</t>
  </si>
  <si>
    <t>02_UNITS_BY_BUILDING/Building_16/2607_Yorktown_Ln</t>
  </si>
  <si>
    <t>2607_Yorktown_Ln</t>
  </si>
  <si>
    <t>B16-U04</t>
  </si>
  <si>
    <t>2609 Yorktown Lane</t>
  </si>
  <si>
    <t>02_UNITS_BY_BUILDING/Building_16/2609_Yorktown_Ln</t>
  </si>
  <si>
    <t>2609_Yorktown_Ln</t>
  </si>
  <si>
    <t>B16-U05</t>
  </si>
  <si>
    <t>2611 Yorktown Lane</t>
  </si>
  <si>
    <t>02_UNITS_BY_BUILDING/Building_16/2611_Yorktown_Ln</t>
  </si>
  <si>
    <t>2611_Yorktown_Ln</t>
  </si>
  <si>
    <t>2613_Yorktown_Ln</t>
  </si>
  <si>
    <t>2615_Yorktown_Ln</t>
  </si>
  <si>
    <t>2617_Yorktown_Ln</t>
  </si>
  <si>
    <t>2619_Yorktown_Ln</t>
  </si>
  <si>
    <t>2621_Yorktown_Ln</t>
  </si>
  <si>
    <t>2623_Yorktown_Ln</t>
  </si>
  <si>
    <t>B18-U01</t>
  </si>
  <si>
    <t>Cambridge Lane</t>
  </si>
  <si>
    <t>2803 Cambridge Lane</t>
  </si>
  <si>
    <t>02_UNITS_BY_BUILDING/Building_18/2803_Cambridge_Ln</t>
  </si>
  <si>
    <t>2803_Cambridge_Ln</t>
  </si>
  <si>
    <t>B18-U02</t>
  </si>
  <si>
    <t>2805 Cambridge Lane</t>
  </si>
  <si>
    <t>02_UNITS_BY_BUILDING/Building_18/2805_Cambridge_Ln</t>
  </si>
  <si>
    <t>2805_Cambridge_Ln</t>
  </si>
  <si>
    <t>B18-U03</t>
  </si>
  <si>
    <t>2807 Cambridge Lane</t>
  </si>
  <si>
    <t>02_UNITS_BY_BUILDING/Building_18/2807_Cambridge_Ln</t>
  </si>
  <si>
    <t>2807_Cambridge_Ln</t>
  </si>
  <si>
    <t>B18-U04</t>
  </si>
  <si>
    <t>2809 Cambridge Lane</t>
  </si>
  <si>
    <t>02_UNITS_BY_BUILDING/Building_18/2809_Cambridge_Ln</t>
  </si>
  <si>
    <t>2809_Cambridge_Ln</t>
  </si>
  <si>
    <t>B18-U05</t>
  </si>
  <si>
    <t>2811 Cambridge Lane</t>
  </si>
  <si>
    <t>02_UNITS_BY_BUILDING/Building_18/2811_Cambridge_Ln</t>
  </si>
  <si>
    <t>2811_Cambridge_Ln</t>
  </si>
  <si>
    <t>B18-U06</t>
  </si>
  <si>
    <t>2813 Cambridge Lane</t>
  </si>
  <si>
    <t>02_UNITS_BY_BUILDING/Building_18/2813_Cambridge_Ln</t>
  </si>
  <si>
    <t>2813_Cambridge_Ln</t>
  </si>
  <si>
    <t>B19-U01</t>
  </si>
  <si>
    <t>2817 Cambridge Lane</t>
  </si>
  <si>
    <t>02_UNITS_BY_BUILDING/Building_19/2817_Cambridge_Ln</t>
  </si>
  <si>
    <t>2817_Cambridge_Ln</t>
  </si>
  <si>
    <t>B19-U02</t>
  </si>
  <si>
    <t>2819 Cambridge Lane</t>
  </si>
  <si>
    <t>02_UNITS_BY_BUILDING/Building_19/2819_Cambridge_Ln</t>
  </si>
  <si>
    <t>2819_Cambridge_Ln</t>
  </si>
  <si>
    <t>B19-U03</t>
  </si>
  <si>
    <t>2821 Cambridge Lane</t>
  </si>
  <si>
    <t>02_UNITS_BY_BUILDING/Building_19/2821_Cambridge_Ln</t>
  </si>
  <si>
    <t>2821_Cambridge_Ln</t>
  </si>
  <si>
    <t>B19-U04</t>
  </si>
  <si>
    <t>2823 Cambridge Lane</t>
  </si>
  <si>
    <t>02_UNITS_BY_BUILDING/Building_19/2823_Cambridge_Ln</t>
  </si>
  <si>
    <t>2823_Cambridge_Ln</t>
  </si>
  <si>
    <t>B19-U05</t>
  </si>
  <si>
    <t>2825 Cambridge Lane</t>
  </si>
  <si>
    <t>02_UNITS_BY_BUILDING/Building_19/2825_Cambridge_Ln</t>
  </si>
  <si>
    <t>2825_Cambridge_Ln</t>
  </si>
  <si>
    <t>B19-U06</t>
  </si>
  <si>
    <t>2827 Cambridge Lane</t>
  </si>
  <si>
    <t>02_UNITS_BY_BUILDING/Building_19/2827_Cambridge_Ln</t>
  </si>
  <si>
    <t>2827_Cambridge_Ln</t>
  </si>
  <si>
    <t>B20-U01</t>
  </si>
  <si>
    <t>2806 Cambridge Lane</t>
  </si>
  <si>
    <t>02_UNITS_BY_BUILDING/Building_20/2806_Cambridge_Ln</t>
  </si>
  <si>
    <t>2806_Cambridge_Ln</t>
  </si>
  <si>
    <t>B20-U02</t>
  </si>
  <si>
    <t>2808 Cambridge Lane</t>
  </si>
  <si>
    <t>02_UNITS_BY_BUILDING/Building_20/2808_Cambridge_Ln</t>
  </si>
  <si>
    <t>2808_Cambridge_Ln</t>
  </si>
  <si>
    <t>B20-U03</t>
  </si>
  <si>
    <t>2810 Cambridge Lane</t>
  </si>
  <si>
    <t>02_UNITS_BY_BUILDING/Building_20/2810_Cambridge_Ln</t>
  </si>
  <si>
    <t>2810_Cambridge_Ln</t>
  </si>
  <si>
    <t>B20-U04</t>
  </si>
  <si>
    <t>2812 Cambridge Lane</t>
  </si>
  <si>
    <t>02_UNITS_BY_BUILDING/Building_20/2812_Cambridge_Ln</t>
  </si>
  <si>
    <t>2812_Cambridge_Ln</t>
  </si>
  <si>
    <t>B20-U05</t>
  </si>
  <si>
    <t>2814 Cambridge Lane</t>
  </si>
  <si>
    <t>02_UNITS_BY_BUILDING/Building_20/2814_Cambridge_Ln</t>
  </si>
  <si>
    <t>2814_Cambridge_Ln</t>
  </si>
  <si>
    <t>2818_Princess_Ln</t>
  </si>
  <si>
    <t>2820_Princess_Ln</t>
  </si>
  <si>
    <t>2822_Princess_Ln</t>
  </si>
  <si>
    <t>2824_Princess_Ln</t>
  </si>
  <si>
    <t>2826_Princess_Ln</t>
  </si>
  <si>
    <t>B22-U01</t>
  </si>
  <si>
    <t>2602 Princess Lane</t>
  </si>
  <si>
    <t>02_UNITS_BY_BUILDING/Building_22/2602_Princess_Ln</t>
  </si>
  <si>
    <t>2602_Princess_Ln</t>
  </si>
  <si>
    <t>B22-U02</t>
  </si>
  <si>
    <t>2604 Princess Lane</t>
  </si>
  <si>
    <t>02_UNITS_BY_BUILDING/Building_22/2604_Princess_Ln</t>
  </si>
  <si>
    <t>2604_Princess_Ln</t>
  </si>
  <si>
    <t>B22-U03</t>
  </si>
  <si>
    <t>2606 Princess Lane</t>
  </si>
  <si>
    <t>02_UNITS_BY_BUILDING/Building_22/2606_Princess_Ln</t>
  </si>
  <si>
    <t>2606_Princess_Ln</t>
  </si>
  <si>
    <t>B22-U04</t>
  </si>
  <si>
    <t>2608 Princess Lane</t>
  </si>
  <si>
    <t>02_UNITS_BY_BUILDING/Building_22/2608_Princess_Ln</t>
  </si>
  <si>
    <t>2608_Princess_Ln</t>
  </si>
  <si>
    <t>B22-U05</t>
  </si>
  <si>
    <t>2610 Princess Lane</t>
  </si>
  <si>
    <t>02_UNITS_BY_BUILDING/Building_22/2610_Princess_Ln</t>
  </si>
  <si>
    <t>2610_Princess_Ln</t>
  </si>
  <si>
    <t>B22-U06</t>
  </si>
  <si>
    <t>2612 Princess Lane</t>
  </si>
  <si>
    <t>02_UNITS_BY_BUILDING/Building_22/2612_Princess_Ln</t>
  </si>
  <si>
    <t>2612_Princess_Ln</t>
  </si>
  <si>
    <t>B22-U07</t>
  </si>
  <si>
    <t>2614 Princess Lane</t>
  </si>
  <si>
    <t>02_UNITS_BY_BUILDING/Building_22/2614_Princess_Ln</t>
  </si>
  <si>
    <t>2614_Princess_Ln</t>
  </si>
  <si>
    <t>B23-U01</t>
  </si>
  <si>
    <t>2903 Nottingham Lane</t>
  </si>
  <si>
    <t>02_UNITS_BY_BUILDING/Building_23/2903_Nottingham_Ln</t>
  </si>
  <si>
    <t>2903_Nottingham_Ln</t>
  </si>
  <si>
    <t>B23-U02</t>
  </si>
  <si>
    <t>2905 Nottingham Lane</t>
  </si>
  <si>
    <t>02_UNITS_BY_BUILDING/Building_23/2905_Nottingham_Ln</t>
  </si>
  <si>
    <t>2905_Nottingham_Ln</t>
  </si>
  <si>
    <t>B23-U03</t>
  </si>
  <si>
    <t>2907 Nottingham Lane</t>
  </si>
  <si>
    <t>02_UNITS_BY_BUILDING/Building_23/2907_Nottingham_Ln</t>
  </si>
  <si>
    <t>2907_Nottingham_Ln</t>
  </si>
  <si>
    <t>B23-U04</t>
  </si>
  <si>
    <t>2909 Nottingham Lane</t>
  </si>
  <si>
    <t>02_UNITS_BY_BUILDING/Building_23/2909_Nottingham_Ln</t>
  </si>
  <si>
    <t>2909_Nottingham_Ln</t>
  </si>
  <si>
    <t>B23-U05</t>
  </si>
  <si>
    <t>2911 Nottingham Lane</t>
  </si>
  <si>
    <t>02_UNITS_BY_BUILDING/Building_23/2911_Nottingham_Ln</t>
  </si>
  <si>
    <t>2911_Nottingham_Ln</t>
  </si>
  <si>
    <t>B24-U01</t>
  </si>
  <si>
    <t>2913 Nottingham Lane</t>
  </si>
  <si>
    <t>02_UNITS_BY_BUILDING/Building_24/2913_Nottingham_Ln</t>
  </si>
  <si>
    <t>2913_Nottingham_Ln</t>
  </si>
  <si>
    <t>B24-U02</t>
  </si>
  <si>
    <t>2915 Nottingham Lane</t>
  </si>
  <si>
    <t>02_UNITS_BY_BUILDING/Building_24/2915_Nottingham_Ln</t>
  </si>
  <si>
    <t>2915_Nottingham_Ln</t>
  </si>
  <si>
    <t>B24-U03</t>
  </si>
  <si>
    <t>2917 Nottingham Lane</t>
  </si>
  <si>
    <t>02_UNITS_BY_BUILDING/Building_24/2917_Nottingham_Ln</t>
  </si>
  <si>
    <t>2917_Nottingham_Ln</t>
  </si>
  <si>
    <t>B24-U04</t>
  </si>
  <si>
    <t>2919 Nottingham Lane</t>
  </si>
  <si>
    <t>02_UNITS_BY_BUILDING/Building_24/2919_Nottingham_Ln</t>
  </si>
  <si>
    <t>2919_Nottingham_Ln</t>
  </si>
  <si>
    <t>B24-U05</t>
  </si>
  <si>
    <t>2921 Nottingham Lane</t>
  </si>
  <si>
    <t>02_UNITS_BY_BUILDING/Building_24/2921_Nottingham_Ln</t>
  </si>
  <si>
    <t>2921_Nottingham_Ln</t>
  </si>
  <si>
    <t>B24-U06</t>
  </si>
  <si>
    <t>2923 Nottingham Lane</t>
  </si>
  <si>
    <t>02_UNITS_BY_BUILDING/Building_24/2923_Nottingham_Ln</t>
  </si>
  <si>
    <t>2923_Nottingham_Ln</t>
  </si>
  <si>
    <t>B25-U01</t>
  </si>
  <si>
    <t>02_UNITS_BY_BUILDING/Building_25/2910_Nottingham_Ln</t>
  </si>
  <si>
    <t>B25-U02</t>
  </si>
  <si>
    <t>02_UNITS_BY_BUILDING/Building_25/2912_Nottingham_Ln</t>
  </si>
  <si>
    <t>B25-U03</t>
  </si>
  <si>
    <t>02_UNITS_BY_BUILDING/Building_25/2914_Nottingham_Ln</t>
  </si>
  <si>
    <t>B25-U04</t>
  </si>
  <si>
    <t>02_UNITS_BY_BUILDING/Building_25/2916_Nottingham_Ln</t>
  </si>
  <si>
    <t>B25-U05</t>
  </si>
  <si>
    <t>02_UNITS_BY_BUILDING/Building_25/2918_Nottingham_Ln</t>
  </si>
  <si>
    <t>B25-U06</t>
  </si>
  <si>
    <t>02_UNITS_BY_BUILDING/Building_25/2920_Nottingham_Ln</t>
  </si>
  <si>
    <t>Quail Valley Townhomes HOA Board Dashboard</t>
  </si>
  <si>
    <t>Metric</t>
  </si>
  <si>
    <t>Formula</t>
  </si>
  <si>
    <t>Total Units</t>
  </si>
  <si>
    <t>Insurance Renewal &lt;30d</t>
  </si>
  <si>
    <t>Immediate Action</t>
  </si>
  <si>
    <t>Acknowledgment Missing/Partial</t>
  </si>
  <si>
    <t>Follow Up</t>
  </si>
  <si>
    <t>Open Compliance Cases</t>
  </si>
  <si>
    <t>Complete</t>
  </si>
  <si>
    <t>Review-Flagged Addresses</t>
  </si>
  <si>
    <t>Insurance Missing/Expired</t>
  </si>
  <si>
    <t>Buildings with Review Items</t>
  </si>
  <si>
    <t>Board use</t>
  </si>
  <si>
    <t>1. Filter Unit_Master by Overall Board Action = Immediate Action before each board meeting.</t>
  </si>
  <si>
    <t>2. Use Address Verification Flag to clean up inferred addresses before publishing owner-facing reports.</t>
  </si>
  <si>
    <t>3. Store all new declarations pages, roof documents, and signed acknowledgments in the linked unit folders.</t>
  </si>
  <si>
    <t>Status logic</t>
  </si>
  <si>
    <t>Complete = owner last name + primary email + primary phone. Partial = some contact data present. Missing = none present.</t>
  </si>
  <si>
    <t>Missing = insurance/proof incomplete. Expired = policy date in past. Renewal &lt;30d = expires within 30 days. Verified = insurance on file + declarations page + liability + dwelling + insurance acknowledgment.</t>
  </si>
  <si>
    <t>Complete = insurance acknowledgment + rules acknowledgment + signature/checkoff complete; plus renter registration when occupancy = Tenant.</t>
  </si>
  <si>
    <t>Active Issue overrides all. Then Replacement Risk, Repair Needed, Monitor, OK.</t>
  </si>
  <si>
    <t>Open Case when compliance case is open. Board Review when flagged for board review. Otherwise Clear.</t>
  </si>
  <si>
    <t>Immediate Action if expired/missing insurance, missing acknowledgments, active/replacement roof issue, or open case. Follow Up for near-term renewals / review items / monitor items. Complete otherwise.</t>
  </si>
  <si>
    <t>Buildings 14, 17, and 21 were partially inferred from the provided plat image and should be checked against deed/tax roll before final rollout.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</si>
</sst>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6"/>
      <color rgb="FFFFFFFF"/>
      <name val="Calibri"/>
      <family val="2"/>
    </font>
    <font>
      <b/>
      <sz val="16"/>
      <name val="Calibri"/>
      <family val="2"/>
    </font>
    <font>
      <b/>
      <sz val="11"/>
      <color rgb="FFC65911"/>
      <name val="Calibri"/>
      <family val="2"/>
    </font>
    <font>
      <b/>
      <sz val="14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3F6FA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7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0" fontId="2" fillId="4" borderId="0" xfId="0" applyFont="1" applyFill="1"/>
    <xf numFmtId="0" fontId="1" fillId="2" borderId="0" xfId="0" applyFont="1" applyFill="1"/>
    <xf numFmtId="0" fontId="0" fillId="5" borderId="0" xfId="0" applyFill="1"/>
    <xf numFmtId="0" fontId="5" fillId="0" borderId="0" xfId="0" applyFont="1"/>
    <xf numFmtId="0" fontId="4" fillId="0" borderId="0" xfId="0" applyFont="1"/>
    <xf numFmtId="0" fontId="5" fillId="6" borderId="0" xfId="0" applyFont="1" applyFill="1"/>
    <xf numFmtId="0" fontId="1" fillId="2" borderId="0" xfId="0" applyFont="1" applyFill="1" applyAlignment="1">
      <alignment horizontal="center"/>
    </xf>
    <xf numFmtId="0" fontId="0" fillId="3" borderId="0" xfId="0" applyFill="1"/>
    <xf numFmtId="0" fontId="8" fillId="3" borderId="0" xfId="0" applyFont="1" applyFill="1"/>
    <xf numFmtId="0" fontId="3" fillId="3" borderId="0" xfId="0" applyFont="1" applyFill="1"/>
    <xf numFmtId="0" fontId="9" fillId="2" borderId="0" xfId="0" applyFont="1" applyFill="1"/>
    <xf numFmtId="0" fontId="0" fillId="0" borderId="0" xfId="0"/>
    <xf numFmtId="0" fontId="6" fillId="2" borderId="0" xfId="0" applyFont="1" applyFill="1"/>
  </cellXfs>
  <cellStyles count="1">
    <cellStyle name="Normal" xfId="0" builtinId="0"/>
  </cellStyles>
  <dxfs count="3"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3429000" cy="443865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dressReviewList" displayName="AddressReviewList" ref="A1:M18">
  <autoFilter ref="A1:M18" xr:uid="{00000000-0009-0000-0100-000001000000}"/>
  <tableColumns count="13">
    <tableColumn id="1" xr3:uid="{00000000-0010-0000-0000-000001000000}" name="Unit ID"/>
    <tableColumn id="2" xr3:uid="{00000000-0010-0000-0000-000002000000}" name="Building No."/>
    <tableColumn id="3" xr3:uid="{00000000-0010-0000-0000-000003000000}" name="Street"/>
    <tableColumn id="4" xr3:uid="{00000000-0010-0000-0000-000004000000}" name="House No."/>
    <tableColumn id="5" xr3:uid="{00000000-0010-0000-0000-000005000000}" name="Draft Unit Address"/>
    <tableColumn id="6" xr3:uid="{00000000-0010-0000-0000-000006000000}" name="Folder Relative Path"/>
    <tableColumn id="7" xr3:uid="{00000000-0010-0000-0000-000007000000}" name="Current Flag"/>
    <tableColumn id="8" xr3:uid="{00000000-0010-0000-0000-000008000000}" name="Verification Needed"/>
    <tableColumn id="9" xr3:uid="{00000000-0010-0000-0000-000009000000}" name="Recommended Source"/>
    <tableColumn id="10" xr3:uid="{00000000-0010-0000-0000-00000A000000}" name="Reviewer Decision"/>
    <tableColumn id="11" xr3:uid="{00000000-0010-0000-0000-00000B000000}" name="Verified Building No."/>
    <tableColumn id="12" xr3:uid="{00000000-0010-0000-0000-00000C000000}" name="Verified Unit Address"/>
    <tableColumn id="13" xr3:uid="{00000000-0010-0000-0000-00000D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ildingChecklist" displayName="BuildingChecklist" ref="A1:F26">
  <autoFilter ref="A1:F26" xr:uid="{00000000-0009-0000-0100-000002000000}"/>
  <tableColumns count="6">
    <tableColumn id="1" xr3:uid="{00000000-0010-0000-0100-000001000000}" name="Building No."/>
    <tableColumn id="2" xr3:uid="{00000000-0010-0000-0100-000002000000}" name="Unit Count"/>
    <tableColumn id="3" xr3:uid="{00000000-0010-0000-0100-000003000000}" name="Address Range"/>
    <tableColumn id="4" xr3:uid="{00000000-0010-0000-0100-000004000000}" name="Review Count"/>
    <tableColumn id="5" xr3:uid="{00000000-0010-0000-0100-000005000000}" name="Review Needed?"/>
    <tableColumn id="6" xr3:uid="{00000000-0010-0000-01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showGridLines="0" topLeftCell="A19" zoomScale="400" workbookViewId="0">
      <selection activeCell="A25" sqref="A25"/>
    </sheetView>
  </sheetViews>
  <sheetFormatPr baseColWidth="10" defaultColWidth="8.83203125" defaultRowHeight="15" x14ac:dyDescent="0.2"/>
  <cols>
    <col min="1" max="1" width="120" customWidth="1"/>
  </cols>
  <sheetData>
    <row r="1" spans="1:1" ht="21" x14ac:dyDescent="0.25">
      <c r="A1" s="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F16"/>
  <sheetViews>
    <sheetView zoomScale="160" workbookViewId="0">
      <selection sqref="A1:F1"/>
    </sheetView>
  </sheetViews>
  <sheetFormatPr baseColWidth="10" defaultColWidth="8.83203125" defaultRowHeight="15" x14ac:dyDescent="0.2"/>
  <cols>
    <col min="1" max="1" width="38" customWidth="1"/>
    <col min="2" max="2" width="72" customWidth="1"/>
    <col min="3" max="6" width="14" customWidth="1"/>
  </cols>
  <sheetData>
    <row r="1" spans="1:6" ht="19" x14ac:dyDescent="0.25">
      <c r="A1" s="17" t="s">
        <v>9</v>
      </c>
      <c r="B1" s="18"/>
      <c r="C1" s="18"/>
      <c r="D1" s="18"/>
      <c r="E1" s="18"/>
      <c r="F1" s="18"/>
    </row>
    <row r="3" spans="1:6" x14ac:dyDescent="0.2">
      <c r="A3" s="10" t="s">
        <v>10</v>
      </c>
      <c r="B3" t="s">
        <v>11</v>
      </c>
    </row>
    <row r="4" spans="1:6" x14ac:dyDescent="0.2">
      <c r="A4" s="10" t="s">
        <v>12</v>
      </c>
      <c r="B4" t="s">
        <v>13</v>
      </c>
    </row>
    <row r="5" spans="1:6" x14ac:dyDescent="0.2">
      <c r="A5" s="10" t="s">
        <v>14</v>
      </c>
      <c r="B5">
        <f>COUNTA(Unit_Master!A2:A145)</f>
        <v>144</v>
      </c>
    </row>
    <row r="6" spans="1:6" x14ac:dyDescent="0.2">
      <c r="A6" s="10" t="s">
        <v>15</v>
      </c>
      <c r="B6">
        <f>SUM(Building_Checklist!B2:B26)</f>
        <v>144</v>
      </c>
    </row>
    <row r="7" spans="1:6" x14ac:dyDescent="0.2">
      <c r="A7" s="10" t="s">
        <v>16</v>
      </c>
      <c r="B7">
        <f>COUNTIF(Unit_Master!H2:H145,"Review")</f>
        <v>17</v>
      </c>
    </row>
    <row r="8" spans="1:6" x14ac:dyDescent="0.2">
      <c r="A8" s="10" t="s">
        <v>17</v>
      </c>
      <c r="B8">
        <f>SUMPRODUCT((Building_Checklist!D2:D26&gt;0)*1)</f>
        <v>3</v>
      </c>
    </row>
    <row r="9" spans="1:6" x14ac:dyDescent="0.2">
      <c r="A9" s="10" t="s">
        <v>18</v>
      </c>
      <c r="B9" t="s">
        <v>19</v>
      </c>
    </row>
    <row r="10" spans="1:6" x14ac:dyDescent="0.2">
      <c r="A10" s="10" t="s">
        <v>20</v>
      </c>
      <c r="B10" t="s">
        <v>21</v>
      </c>
    </row>
    <row r="12" spans="1:6" x14ac:dyDescent="0.2">
      <c r="A12" s="12" t="s">
        <v>22</v>
      </c>
    </row>
    <row r="13" spans="1:6" x14ac:dyDescent="0.2">
      <c r="A13" t="s">
        <v>23</v>
      </c>
    </row>
    <row r="14" spans="1:6" x14ac:dyDescent="0.2">
      <c r="A14" t="s">
        <v>24</v>
      </c>
    </row>
    <row r="15" spans="1:6" x14ac:dyDescent="0.2">
      <c r="A15" t="s">
        <v>25</v>
      </c>
    </row>
    <row r="16" spans="1:6" x14ac:dyDescent="0.2">
      <c r="A16" t="s">
        <v>26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5911"/>
  </sheetPr>
  <dimension ref="A1:M18"/>
  <sheetViews>
    <sheetView zoomScale="125" workbookViewId="0">
      <selection activeCell="I9" sqref="I9"/>
    </sheetView>
  </sheetViews>
  <sheetFormatPr baseColWidth="10" defaultColWidth="8.83203125" defaultRowHeight="15" x14ac:dyDescent="0.2"/>
  <cols>
    <col min="1" max="1" width="11.5" bestFit="1" customWidth="1"/>
    <col min="2" max="2" width="15.5" bestFit="1" customWidth="1"/>
    <col min="3" max="3" width="12.33203125" bestFit="1" customWidth="1"/>
    <col min="4" max="4" width="14" bestFit="1" customWidth="1"/>
    <col min="5" max="5" width="20.1640625" bestFit="1" customWidth="1"/>
    <col min="6" max="6" width="45.83203125" bestFit="1" customWidth="1"/>
    <col min="7" max="7" width="15.5" bestFit="1" customWidth="1"/>
    <col min="8" max="8" width="51.5" bestFit="1" customWidth="1"/>
    <col min="9" max="9" width="28.6640625" bestFit="1" customWidth="1"/>
    <col min="10" max="10" width="20.5" bestFit="1" customWidth="1"/>
    <col min="11" max="11" width="22.33203125" bestFit="1" customWidth="1"/>
    <col min="12" max="12" width="22.83203125" bestFit="1" customWidth="1"/>
    <col min="13" max="13" width="10.6640625" bestFit="1" customWidth="1"/>
  </cols>
  <sheetData>
    <row r="1" spans="1:13" x14ac:dyDescent="0.2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31</v>
      </c>
      <c r="F1" s="13" t="s">
        <v>32</v>
      </c>
      <c r="G1" s="13" t="s">
        <v>33</v>
      </c>
      <c r="H1" s="13" t="s">
        <v>34</v>
      </c>
      <c r="I1" s="13" t="s">
        <v>35</v>
      </c>
      <c r="J1" s="13" t="s">
        <v>36</v>
      </c>
      <c r="K1" s="13" t="s">
        <v>37</v>
      </c>
      <c r="L1" s="13" t="s">
        <v>38</v>
      </c>
      <c r="M1" s="13" t="s">
        <v>39</v>
      </c>
    </row>
    <row r="2" spans="1:13" x14ac:dyDescent="0.2">
      <c r="A2" s="14" t="s">
        <v>40</v>
      </c>
      <c r="B2" s="14">
        <v>14</v>
      </c>
      <c r="C2" s="14" t="s">
        <v>41</v>
      </c>
      <c r="D2" s="14">
        <v>2513</v>
      </c>
      <c r="E2" s="14" t="s">
        <v>42</v>
      </c>
      <c r="F2" s="14" t="s">
        <v>43</v>
      </c>
      <c r="G2" s="14" t="s">
        <v>44</v>
      </c>
      <c r="H2" s="14" t="s">
        <v>45</v>
      </c>
      <c r="I2" s="14" t="s">
        <v>46</v>
      </c>
      <c r="J2" s="14"/>
      <c r="K2" s="14"/>
      <c r="L2" s="14"/>
      <c r="M2" s="14"/>
    </row>
    <row r="3" spans="1:13" x14ac:dyDescent="0.2">
      <c r="A3" s="14" t="s">
        <v>47</v>
      </c>
      <c r="B3" s="14">
        <v>14</v>
      </c>
      <c r="C3" s="14" t="s">
        <v>41</v>
      </c>
      <c r="D3" s="14">
        <v>2515</v>
      </c>
      <c r="E3" s="14" t="s">
        <v>48</v>
      </c>
      <c r="F3" s="14" t="s">
        <v>49</v>
      </c>
      <c r="G3" s="14" t="s">
        <v>44</v>
      </c>
      <c r="H3" s="14" t="s">
        <v>45</v>
      </c>
      <c r="I3" s="14" t="s">
        <v>46</v>
      </c>
      <c r="J3" s="14"/>
      <c r="K3" s="14"/>
      <c r="L3" s="14"/>
      <c r="M3" s="14"/>
    </row>
    <row r="4" spans="1:13" x14ac:dyDescent="0.2">
      <c r="A4" s="14" t="s">
        <v>50</v>
      </c>
      <c r="B4" s="14">
        <v>14</v>
      </c>
      <c r="C4" s="14" t="s">
        <v>41</v>
      </c>
      <c r="D4" s="14">
        <v>2517</v>
      </c>
      <c r="E4" s="14" t="s">
        <v>51</v>
      </c>
      <c r="F4" s="14" t="s">
        <v>52</v>
      </c>
      <c r="G4" s="14" t="s">
        <v>44</v>
      </c>
      <c r="H4" s="14" t="s">
        <v>45</v>
      </c>
      <c r="I4" s="14" t="s">
        <v>46</v>
      </c>
      <c r="J4" s="14"/>
      <c r="K4" s="14"/>
      <c r="L4" s="14"/>
      <c r="M4" s="14"/>
    </row>
    <row r="5" spans="1:13" x14ac:dyDescent="0.2">
      <c r="A5" s="14" t="s">
        <v>53</v>
      </c>
      <c r="B5" s="14">
        <v>14</v>
      </c>
      <c r="C5" s="14" t="s">
        <v>41</v>
      </c>
      <c r="D5" s="14">
        <v>2519</v>
      </c>
      <c r="E5" s="14" t="s">
        <v>54</v>
      </c>
      <c r="F5" s="14" t="s">
        <v>55</v>
      </c>
      <c r="G5" s="14" t="s">
        <v>44</v>
      </c>
      <c r="H5" s="14" t="s">
        <v>45</v>
      </c>
      <c r="I5" s="14" t="s">
        <v>46</v>
      </c>
      <c r="J5" s="14"/>
      <c r="K5" s="14"/>
      <c r="L5" s="14"/>
      <c r="M5" s="14"/>
    </row>
    <row r="6" spans="1:13" x14ac:dyDescent="0.2">
      <c r="A6" s="14" t="s">
        <v>56</v>
      </c>
      <c r="B6" s="14">
        <v>14</v>
      </c>
      <c r="C6" s="14" t="s">
        <v>41</v>
      </c>
      <c r="D6" s="14">
        <v>2521</v>
      </c>
      <c r="E6" s="14" t="s">
        <v>57</v>
      </c>
      <c r="F6" s="14" t="s">
        <v>58</v>
      </c>
      <c r="G6" s="14" t="s">
        <v>44</v>
      </c>
      <c r="H6" s="14" t="s">
        <v>45</v>
      </c>
      <c r="I6" s="14" t="s">
        <v>46</v>
      </c>
      <c r="J6" s="14"/>
      <c r="K6" s="14"/>
      <c r="L6" s="14"/>
      <c r="M6" s="14"/>
    </row>
    <row r="7" spans="1:13" x14ac:dyDescent="0.2">
      <c r="A7" s="14" t="s">
        <v>59</v>
      </c>
      <c r="B7" s="14">
        <v>14</v>
      </c>
      <c r="C7" s="14" t="s">
        <v>41</v>
      </c>
      <c r="D7" s="14">
        <v>2523</v>
      </c>
      <c r="E7" s="14" t="s">
        <v>60</v>
      </c>
      <c r="F7" s="14" t="s">
        <v>61</v>
      </c>
      <c r="G7" s="14" t="s">
        <v>44</v>
      </c>
      <c r="H7" s="14" t="s">
        <v>45</v>
      </c>
      <c r="I7" s="14" t="s">
        <v>46</v>
      </c>
      <c r="J7" s="14"/>
      <c r="K7" s="14"/>
      <c r="L7" s="14"/>
      <c r="M7" s="14"/>
    </row>
    <row r="8" spans="1:13" x14ac:dyDescent="0.2">
      <c r="A8" s="14" t="s">
        <v>62</v>
      </c>
      <c r="B8" s="14">
        <v>17</v>
      </c>
      <c r="C8" s="14" t="s">
        <v>63</v>
      </c>
      <c r="D8" s="14">
        <v>2613</v>
      </c>
      <c r="E8" s="14" t="s">
        <v>64</v>
      </c>
      <c r="F8" s="14" t="s">
        <v>65</v>
      </c>
      <c r="G8" s="14" t="s">
        <v>44</v>
      </c>
      <c r="H8" s="14" t="s">
        <v>45</v>
      </c>
      <c r="I8" s="14" t="s">
        <v>46</v>
      </c>
      <c r="J8" s="14"/>
      <c r="K8" s="14"/>
      <c r="L8" s="14"/>
      <c r="M8" s="14"/>
    </row>
    <row r="9" spans="1:13" x14ac:dyDescent="0.2">
      <c r="A9" s="14" t="s">
        <v>66</v>
      </c>
      <c r="B9" s="14">
        <v>17</v>
      </c>
      <c r="C9" s="14" t="s">
        <v>63</v>
      </c>
      <c r="D9" s="14">
        <v>2615</v>
      </c>
      <c r="E9" s="14" t="s">
        <v>67</v>
      </c>
      <c r="F9" s="14" t="s">
        <v>68</v>
      </c>
      <c r="G9" s="14" t="s">
        <v>44</v>
      </c>
      <c r="H9" s="14" t="s">
        <v>45</v>
      </c>
      <c r="I9" s="14" t="s">
        <v>46</v>
      </c>
      <c r="J9" s="14"/>
      <c r="K9" s="14"/>
      <c r="L9" s="14"/>
      <c r="M9" s="14"/>
    </row>
    <row r="10" spans="1:13" x14ac:dyDescent="0.2">
      <c r="A10" s="14" t="s">
        <v>69</v>
      </c>
      <c r="B10" s="14">
        <v>17</v>
      </c>
      <c r="C10" s="14" t="s">
        <v>63</v>
      </c>
      <c r="D10" s="14">
        <v>2617</v>
      </c>
      <c r="E10" s="14" t="s">
        <v>70</v>
      </c>
      <c r="F10" s="14" t="s">
        <v>71</v>
      </c>
      <c r="G10" s="14" t="s">
        <v>44</v>
      </c>
      <c r="H10" s="14" t="s">
        <v>45</v>
      </c>
      <c r="I10" s="14" t="s">
        <v>46</v>
      </c>
      <c r="J10" s="14"/>
      <c r="K10" s="14"/>
      <c r="L10" s="14"/>
      <c r="M10" s="14"/>
    </row>
    <row r="11" spans="1:13" x14ac:dyDescent="0.2">
      <c r="A11" s="14" t="s">
        <v>72</v>
      </c>
      <c r="B11" s="14">
        <v>17</v>
      </c>
      <c r="C11" s="14" t="s">
        <v>63</v>
      </c>
      <c r="D11" s="14">
        <v>2619</v>
      </c>
      <c r="E11" s="14" t="s">
        <v>73</v>
      </c>
      <c r="F11" s="14" t="s">
        <v>74</v>
      </c>
      <c r="G11" s="14" t="s">
        <v>44</v>
      </c>
      <c r="H11" s="14" t="s">
        <v>45</v>
      </c>
      <c r="I11" s="14" t="s">
        <v>46</v>
      </c>
      <c r="J11" s="14"/>
      <c r="K11" s="14"/>
      <c r="L11" s="14"/>
      <c r="M11" s="14"/>
    </row>
    <row r="12" spans="1:13" x14ac:dyDescent="0.2">
      <c r="A12" s="14" t="s">
        <v>75</v>
      </c>
      <c r="B12" s="14">
        <v>17</v>
      </c>
      <c r="C12" s="14" t="s">
        <v>63</v>
      </c>
      <c r="D12" s="14">
        <v>2621</v>
      </c>
      <c r="E12" s="14" t="s">
        <v>76</v>
      </c>
      <c r="F12" s="14" t="s">
        <v>77</v>
      </c>
      <c r="G12" s="14" t="s">
        <v>44</v>
      </c>
      <c r="H12" s="14" t="s">
        <v>45</v>
      </c>
      <c r="I12" s="14" t="s">
        <v>46</v>
      </c>
      <c r="J12" s="14"/>
      <c r="K12" s="14"/>
      <c r="L12" s="14"/>
      <c r="M12" s="14"/>
    </row>
    <row r="13" spans="1:13" x14ac:dyDescent="0.2">
      <c r="A13" s="14" t="s">
        <v>78</v>
      </c>
      <c r="B13" s="14">
        <v>17</v>
      </c>
      <c r="C13" s="14" t="s">
        <v>63</v>
      </c>
      <c r="D13" s="14">
        <v>2623</v>
      </c>
      <c r="E13" s="14" t="s">
        <v>79</v>
      </c>
      <c r="F13" s="14" t="s">
        <v>80</v>
      </c>
      <c r="G13" s="14" t="s">
        <v>44</v>
      </c>
      <c r="H13" s="14" t="s">
        <v>45</v>
      </c>
      <c r="I13" s="14" t="s">
        <v>46</v>
      </c>
      <c r="J13" s="14"/>
      <c r="K13" s="14"/>
      <c r="L13" s="14"/>
      <c r="M13" s="14"/>
    </row>
    <row r="14" spans="1:13" x14ac:dyDescent="0.2">
      <c r="A14" s="14" t="s">
        <v>81</v>
      </c>
      <c r="B14" s="14">
        <v>21</v>
      </c>
      <c r="C14" s="14" t="s">
        <v>41</v>
      </c>
      <c r="D14" s="14">
        <v>2818</v>
      </c>
      <c r="E14" s="14" t="s">
        <v>82</v>
      </c>
      <c r="F14" s="14" t="s">
        <v>83</v>
      </c>
      <c r="G14" s="14" t="s">
        <v>44</v>
      </c>
      <c r="H14" s="14" t="s">
        <v>45</v>
      </c>
      <c r="I14" s="14" t="s">
        <v>46</v>
      </c>
      <c r="J14" s="14"/>
      <c r="K14" s="14"/>
      <c r="L14" s="14"/>
      <c r="M14" s="14"/>
    </row>
    <row r="15" spans="1:13" x14ac:dyDescent="0.2">
      <c r="A15" s="14" t="s">
        <v>84</v>
      </c>
      <c r="B15" s="14">
        <v>21</v>
      </c>
      <c r="C15" s="14" t="s">
        <v>41</v>
      </c>
      <c r="D15" s="14">
        <v>2820</v>
      </c>
      <c r="E15" s="14" t="s">
        <v>85</v>
      </c>
      <c r="F15" s="14" t="s">
        <v>86</v>
      </c>
      <c r="G15" s="14" t="s">
        <v>44</v>
      </c>
      <c r="H15" s="14" t="s">
        <v>45</v>
      </c>
      <c r="I15" s="14" t="s">
        <v>46</v>
      </c>
      <c r="J15" s="14"/>
      <c r="K15" s="14"/>
      <c r="L15" s="14"/>
      <c r="M15" s="14"/>
    </row>
    <row r="16" spans="1:13" x14ac:dyDescent="0.2">
      <c r="A16" s="14" t="s">
        <v>87</v>
      </c>
      <c r="B16" s="14">
        <v>21</v>
      </c>
      <c r="C16" s="14" t="s">
        <v>41</v>
      </c>
      <c r="D16" s="14">
        <v>2822</v>
      </c>
      <c r="E16" s="14" t="s">
        <v>88</v>
      </c>
      <c r="F16" s="14" t="s">
        <v>89</v>
      </c>
      <c r="G16" s="14" t="s">
        <v>44</v>
      </c>
      <c r="H16" s="14" t="s">
        <v>45</v>
      </c>
      <c r="I16" s="14" t="s">
        <v>46</v>
      </c>
      <c r="J16" s="14"/>
      <c r="K16" s="14"/>
      <c r="L16" s="14"/>
      <c r="M16" s="14"/>
    </row>
    <row r="17" spans="1:13" x14ac:dyDescent="0.2">
      <c r="A17" s="14" t="s">
        <v>90</v>
      </c>
      <c r="B17" s="14">
        <v>21</v>
      </c>
      <c r="C17" s="14" t="s">
        <v>41</v>
      </c>
      <c r="D17" s="14">
        <v>2824</v>
      </c>
      <c r="E17" s="14" t="s">
        <v>91</v>
      </c>
      <c r="F17" s="14" t="s">
        <v>92</v>
      </c>
      <c r="G17" s="14" t="s">
        <v>44</v>
      </c>
      <c r="H17" s="14" t="s">
        <v>45</v>
      </c>
      <c r="I17" s="14" t="s">
        <v>46</v>
      </c>
      <c r="J17" s="14"/>
      <c r="K17" s="14"/>
      <c r="L17" s="14"/>
      <c r="M17" s="14"/>
    </row>
    <row r="18" spans="1:13" x14ac:dyDescent="0.2">
      <c r="A18" s="14" t="s">
        <v>93</v>
      </c>
      <c r="B18" s="14">
        <v>21</v>
      </c>
      <c r="C18" s="14" t="s">
        <v>41</v>
      </c>
      <c r="D18" s="14">
        <v>2826</v>
      </c>
      <c r="E18" s="14" t="s">
        <v>94</v>
      </c>
      <c r="F18" s="14" t="s">
        <v>95</v>
      </c>
      <c r="G18" s="14" t="s">
        <v>44</v>
      </c>
      <c r="H18" s="14" t="s">
        <v>45</v>
      </c>
      <c r="I18" s="14" t="s">
        <v>46</v>
      </c>
      <c r="J18" s="14"/>
      <c r="K18" s="14"/>
      <c r="L18" s="14"/>
      <c r="M18" s="1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64A2"/>
  </sheetPr>
  <dimension ref="A1:F26"/>
  <sheetViews>
    <sheetView zoomScale="192" workbookViewId="0">
      <selection activeCell="F15" sqref="F15"/>
    </sheetView>
  </sheetViews>
  <sheetFormatPr baseColWidth="10" defaultColWidth="8.83203125" defaultRowHeight="15" x14ac:dyDescent="0.2"/>
  <cols>
    <col min="1" max="1" width="15.5" bestFit="1" customWidth="1"/>
    <col min="2" max="2" width="14.5" bestFit="1" customWidth="1"/>
    <col min="3" max="3" width="39" bestFit="1" customWidth="1"/>
    <col min="4" max="4" width="16.83203125" bestFit="1" customWidth="1"/>
    <col min="5" max="5" width="19.1640625" bestFit="1" customWidth="1"/>
    <col min="6" max="6" width="30.33203125" bestFit="1" customWidth="1"/>
  </cols>
  <sheetData>
    <row r="1" spans="1:6" x14ac:dyDescent="0.2">
      <c r="A1" s="13" t="s">
        <v>28</v>
      </c>
      <c r="B1" s="13" t="s">
        <v>96</v>
      </c>
      <c r="C1" s="13" t="s">
        <v>97</v>
      </c>
      <c r="D1" s="13" t="s">
        <v>98</v>
      </c>
      <c r="E1" s="13" t="s">
        <v>99</v>
      </c>
      <c r="F1" s="13" t="s">
        <v>39</v>
      </c>
    </row>
    <row r="2" spans="1:6" x14ac:dyDescent="0.2">
      <c r="A2">
        <v>1</v>
      </c>
      <c r="B2">
        <v>7</v>
      </c>
      <c r="C2" t="s">
        <v>100</v>
      </c>
      <c r="D2">
        <v>0</v>
      </c>
      <c r="E2" t="s">
        <v>101</v>
      </c>
    </row>
    <row r="3" spans="1:6" x14ac:dyDescent="0.2">
      <c r="A3">
        <v>2</v>
      </c>
      <c r="B3">
        <v>6</v>
      </c>
      <c r="C3" t="s">
        <v>102</v>
      </c>
      <c r="D3">
        <v>0</v>
      </c>
      <c r="E3" t="s">
        <v>101</v>
      </c>
    </row>
    <row r="4" spans="1:6" x14ac:dyDescent="0.2">
      <c r="A4">
        <v>3</v>
      </c>
      <c r="B4">
        <v>6</v>
      </c>
      <c r="C4" t="s">
        <v>103</v>
      </c>
      <c r="D4">
        <v>0</v>
      </c>
      <c r="E4" t="s">
        <v>101</v>
      </c>
    </row>
    <row r="5" spans="1:6" x14ac:dyDescent="0.2">
      <c r="A5">
        <v>4</v>
      </c>
      <c r="B5">
        <v>6</v>
      </c>
      <c r="C5" t="s">
        <v>104</v>
      </c>
      <c r="D5">
        <v>0</v>
      </c>
      <c r="E5" t="s">
        <v>101</v>
      </c>
    </row>
    <row r="6" spans="1:6" x14ac:dyDescent="0.2">
      <c r="A6">
        <v>5</v>
      </c>
      <c r="B6">
        <v>5</v>
      </c>
      <c r="C6" t="s">
        <v>105</v>
      </c>
      <c r="D6">
        <v>0</v>
      </c>
      <c r="E6" t="s">
        <v>101</v>
      </c>
    </row>
    <row r="7" spans="1:6" x14ac:dyDescent="0.2">
      <c r="A7">
        <v>6</v>
      </c>
      <c r="B7">
        <v>6</v>
      </c>
      <c r="C7" t="s">
        <v>106</v>
      </c>
      <c r="D7">
        <v>0</v>
      </c>
      <c r="E7" t="s">
        <v>101</v>
      </c>
    </row>
    <row r="8" spans="1:6" x14ac:dyDescent="0.2">
      <c r="A8">
        <v>7</v>
      </c>
      <c r="B8">
        <v>6</v>
      </c>
      <c r="C8" t="s">
        <v>107</v>
      </c>
      <c r="D8">
        <v>0</v>
      </c>
      <c r="E8" t="s">
        <v>101</v>
      </c>
    </row>
    <row r="9" spans="1:6" x14ac:dyDescent="0.2">
      <c r="A9">
        <v>8</v>
      </c>
      <c r="B9">
        <v>7</v>
      </c>
      <c r="C9" t="s">
        <v>108</v>
      </c>
      <c r="D9">
        <v>0</v>
      </c>
      <c r="E9" t="s">
        <v>101</v>
      </c>
    </row>
    <row r="10" spans="1:6" x14ac:dyDescent="0.2">
      <c r="A10">
        <v>9</v>
      </c>
      <c r="B10">
        <v>6</v>
      </c>
      <c r="C10" t="s">
        <v>109</v>
      </c>
      <c r="D10">
        <v>0</v>
      </c>
      <c r="E10" t="s">
        <v>101</v>
      </c>
    </row>
    <row r="11" spans="1:6" x14ac:dyDescent="0.2">
      <c r="A11">
        <v>10</v>
      </c>
      <c r="B11">
        <v>5</v>
      </c>
      <c r="C11" t="s">
        <v>110</v>
      </c>
      <c r="D11">
        <v>0</v>
      </c>
      <c r="E11" t="s">
        <v>101</v>
      </c>
    </row>
    <row r="12" spans="1:6" x14ac:dyDescent="0.2">
      <c r="A12">
        <v>11</v>
      </c>
      <c r="B12">
        <v>6</v>
      </c>
      <c r="C12" t="s">
        <v>111</v>
      </c>
      <c r="D12">
        <v>0</v>
      </c>
      <c r="E12" t="s">
        <v>101</v>
      </c>
    </row>
    <row r="13" spans="1:6" x14ac:dyDescent="0.2">
      <c r="A13">
        <v>12</v>
      </c>
      <c r="B13">
        <v>5</v>
      </c>
      <c r="C13" t="s">
        <v>112</v>
      </c>
      <c r="D13">
        <v>0</v>
      </c>
      <c r="E13" t="s">
        <v>101</v>
      </c>
    </row>
    <row r="14" spans="1:6" x14ac:dyDescent="0.2">
      <c r="A14">
        <v>13</v>
      </c>
      <c r="B14">
        <v>5</v>
      </c>
      <c r="C14" t="s">
        <v>113</v>
      </c>
      <c r="D14">
        <v>0</v>
      </c>
      <c r="E14" t="s">
        <v>101</v>
      </c>
    </row>
    <row r="15" spans="1:6" x14ac:dyDescent="0.2">
      <c r="A15" s="14">
        <v>14</v>
      </c>
      <c r="B15" s="14">
        <v>6</v>
      </c>
      <c r="C15" s="14" t="s">
        <v>114</v>
      </c>
      <c r="D15" s="14">
        <v>6</v>
      </c>
      <c r="E15" s="14" t="s">
        <v>115</v>
      </c>
      <c r="F15" s="14" t="s">
        <v>116</v>
      </c>
    </row>
    <row r="16" spans="1:6" x14ac:dyDescent="0.2">
      <c r="A16">
        <v>15</v>
      </c>
      <c r="B16">
        <v>5</v>
      </c>
      <c r="C16" t="s">
        <v>117</v>
      </c>
      <c r="D16">
        <v>0</v>
      </c>
      <c r="E16" t="s">
        <v>101</v>
      </c>
    </row>
    <row r="17" spans="1:6" x14ac:dyDescent="0.2">
      <c r="A17">
        <v>16</v>
      </c>
      <c r="B17">
        <v>5</v>
      </c>
      <c r="C17" t="s">
        <v>118</v>
      </c>
      <c r="D17">
        <v>0</v>
      </c>
      <c r="E17" t="s">
        <v>101</v>
      </c>
    </row>
    <row r="18" spans="1:6" x14ac:dyDescent="0.2">
      <c r="A18" s="14">
        <v>17</v>
      </c>
      <c r="B18" s="14">
        <v>6</v>
      </c>
      <c r="C18" s="14" t="s">
        <v>119</v>
      </c>
      <c r="D18" s="14">
        <v>6</v>
      </c>
      <c r="E18" s="14" t="s">
        <v>115</v>
      </c>
      <c r="F18" s="14" t="s">
        <v>116</v>
      </c>
    </row>
    <row r="19" spans="1:6" x14ac:dyDescent="0.2">
      <c r="A19">
        <v>18</v>
      </c>
      <c r="B19">
        <v>6</v>
      </c>
      <c r="C19" t="s">
        <v>120</v>
      </c>
      <c r="D19">
        <v>0</v>
      </c>
      <c r="E19" t="s">
        <v>101</v>
      </c>
    </row>
    <row r="20" spans="1:6" x14ac:dyDescent="0.2">
      <c r="A20">
        <v>19</v>
      </c>
      <c r="B20">
        <v>6</v>
      </c>
      <c r="C20" t="s">
        <v>121</v>
      </c>
      <c r="D20">
        <v>0</v>
      </c>
      <c r="E20" t="s">
        <v>101</v>
      </c>
    </row>
    <row r="21" spans="1:6" x14ac:dyDescent="0.2">
      <c r="A21">
        <v>20</v>
      </c>
      <c r="B21">
        <v>5</v>
      </c>
      <c r="C21" t="s">
        <v>122</v>
      </c>
      <c r="D21">
        <v>0</v>
      </c>
      <c r="E21" t="s">
        <v>101</v>
      </c>
    </row>
    <row r="22" spans="1:6" x14ac:dyDescent="0.2">
      <c r="A22" s="14">
        <v>21</v>
      </c>
      <c r="B22" s="14">
        <v>5</v>
      </c>
      <c r="C22" s="14" t="s">
        <v>123</v>
      </c>
      <c r="D22" s="14">
        <v>5</v>
      </c>
      <c r="E22" s="14" t="s">
        <v>115</v>
      </c>
      <c r="F22" s="14" t="s">
        <v>116</v>
      </c>
    </row>
    <row r="23" spans="1:6" x14ac:dyDescent="0.2">
      <c r="A23">
        <v>22</v>
      </c>
      <c r="B23">
        <v>7</v>
      </c>
      <c r="C23" t="s">
        <v>124</v>
      </c>
      <c r="D23">
        <v>0</v>
      </c>
      <c r="E23" t="s">
        <v>101</v>
      </c>
    </row>
    <row r="24" spans="1:6" x14ac:dyDescent="0.2">
      <c r="A24">
        <v>23</v>
      </c>
      <c r="B24">
        <v>5</v>
      </c>
      <c r="C24" t="s">
        <v>125</v>
      </c>
      <c r="D24">
        <v>0</v>
      </c>
      <c r="E24" t="s">
        <v>101</v>
      </c>
    </row>
    <row r="25" spans="1:6" x14ac:dyDescent="0.2">
      <c r="A25">
        <v>24</v>
      </c>
      <c r="B25">
        <v>6</v>
      </c>
      <c r="C25" t="s">
        <v>126</v>
      </c>
      <c r="D25">
        <v>0</v>
      </c>
      <c r="E25" t="s">
        <v>101</v>
      </c>
    </row>
    <row r="26" spans="1:6" x14ac:dyDescent="0.2">
      <c r="A26">
        <v>25</v>
      </c>
      <c r="B26">
        <v>6</v>
      </c>
      <c r="C26" t="s">
        <v>127</v>
      </c>
      <c r="D26">
        <v>0</v>
      </c>
      <c r="E26" t="s">
        <v>101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145"/>
  <sheetViews>
    <sheetView showGridLines="0" zoomScale="189" workbookViewId="0"/>
  </sheetViews>
  <sheetFormatPr baseColWidth="10" defaultColWidth="8.83203125" defaultRowHeight="15" x14ac:dyDescent="0.2"/>
  <cols>
    <col min="1" max="1" width="11" customWidth="1"/>
    <col min="2" max="2" width="10" customWidth="1"/>
    <col min="3" max="3" width="18" customWidth="1"/>
    <col min="4" max="4" width="10" customWidth="1"/>
    <col min="5" max="5" width="24" customWidth="1"/>
    <col min="6" max="6" width="38" customWidth="1"/>
    <col min="7" max="7" width="20" customWidth="1"/>
    <col min="8" max="10" width="16" customWidth="1"/>
    <col min="11" max="12" width="20" customWidth="1"/>
    <col min="13" max="13" width="14" customWidth="1"/>
    <col min="14" max="15" width="10" customWidth="1"/>
    <col min="16" max="17" width="24" customWidth="1"/>
    <col min="18" max="19" width="16" customWidth="1"/>
    <col min="20" max="20" width="18" customWidth="1"/>
    <col min="21" max="21" width="16" customWidth="1"/>
    <col min="22" max="22" width="14" customWidth="1"/>
    <col min="23" max="23" width="16" customWidth="1"/>
    <col min="24" max="24" width="20" customWidth="1"/>
    <col min="25" max="25" width="16" customWidth="1"/>
    <col min="26" max="26" width="12" customWidth="1"/>
    <col min="27" max="30" width="16" customWidth="1"/>
    <col min="31" max="36" width="14" customWidth="1"/>
    <col min="37" max="40" width="16" customWidth="1"/>
    <col min="41" max="41" width="14" customWidth="1"/>
    <col min="42" max="43" width="16" customWidth="1"/>
    <col min="44" max="45" width="14" customWidth="1"/>
    <col min="46" max="46" width="16" customWidth="1"/>
    <col min="47" max="47" width="14" customWidth="1"/>
    <col min="48" max="48" width="16" customWidth="1"/>
    <col min="49" max="51" width="14" customWidth="1"/>
    <col min="52" max="52" width="22" customWidth="1"/>
    <col min="53" max="58" width="18" customWidth="1"/>
    <col min="59" max="59" width="12" customWidth="1"/>
  </cols>
  <sheetData>
    <row r="1" spans="1:58" ht="32" customHeight="1" x14ac:dyDescent="0.2">
      <c r="A1" s="2" t="s">
        <v>27</v>
      </c>
      <c r="B1" s="2" t="s">
        <v>28</v>
      </c>
      <c r="C1" s="2" t="s">
        <v>29</v>
      </c>
      <c r="D1" s="2" t="s">
        <v>30</v>
      </c>
      <c r="E1" s="2" t="s">
        <v>128</v>
      </c>
      <c r="F1" s="2" t="s">
        <v>32</v>
      </c>
      <c r="G1" s="2" t="s">
        <v>129</v>
      </c>
      <c r="H1" s="2" t="s">
        <v>130</v>
      </c>
      <c r="I1" s="2" t="s">
        <v>131</v>
      </c>
      <c r="J1" s="2" t="s">
        <v>132</v>
      </c>
      <c r="K1" s="2" t="s">
        <v>133</v>
      </c>
      <c r="L1" s="2" t="s">
        <v>134</v>
      </c>
      <c r="M1" s="2" t="s">
        <v>135</v>
      </c>
      <c r="N1" s="2" t="s">
        <v>136</v>
      </c>
      <c r="O1" s="2" t="s">
        <v>137</v>
      </c>
      <c r="P1" s="2" t="s">
        <v>138</v>
      </c>
      <c r="Q1" s="2" t="s">
        <v>139</v>
      </c>
      <c r="R1" s="2" t="s">
        <v>140</v>
      </c>
      <c r="S1" s="2" t="s">
        <v>141</v>
      </c>
      <c r="T1" s="2" t="s">
        <v>142</v>
      </c>
      <c r="U1" s="2" t="s">
        <v>143</v>
      </c>
      <c r="V1" s="2" t="s">
        <v>144</v>
      </c>
      <c r="W1" s="2" t="s">
        <v>145</v>
      </c>
      <c r="X1" s="2" t="s">
        <v>146</v>
      </c>
      <c r="Y1" s="2" t="s">
        <v>147</v>
      </c>
      <c r="Z1" s="2" t="s">
        <v>148</v>
      </c>
      <c r="AA1" s="2" t="s">
        <v>149</v>
      </c>
      <c r="AB1" s="2" t="s">
        <v>150</v>
      </c>
      <c r="AC1" s="2" t="s">
        <v>151</v>
      </c>
      <c r="AD1" s="2" t="s">
        <v>152</v>
      </c>
      <c r="AE1" s="2" t="s">
        <v>153</v>
      </c>
      <c r="AF1" s="2" t="s">
        <v>154</v>
      </c>
      <c r="AG1" s="2" t="s">
        <v>155</v>
      </c>
      <c r="AH1" s="2" t="s">
        <v>156</v>
      </c>
      <c r="AI1" s="2" t="s">
        <v>157</v>
      </c>
      <c r="AJ1" s="2" t="s">
        <v>158</v>
      </c>
      <c r="AK1" s="2" t="s">
        <v>159</v>
      </c>
      <c r="AL1" s="2" t="s">
        <v>160</v>
      </c>
      <c r="AM1" s="2" t="s">
        <v>161</v>
      </c>
      <c r="AN1" s="2" t="s">
        <v>162</v>
      </c>
      <c r="AO1" s="2" t="s">
        <v>163</v>
      </c>
      <c r="AP1" s="2" t="s">
        <v>164</v>
      </c>
      <c r="AQ1" s="2" t="s">
        <v>165</v>
      </c>
      <c r="AR1" s="2" t="s">
        <v>166</v>
      </c>
      <c r="AS1" s="2" t="s">
        <v>167</v>
      </c>
      <c r="AT1" s="2" t="s">
        <v>168</v>
      </c>
      <c r="AU1" s="2" t="s">
        <v>169</v>
      </c>
      <c r="AV1" s="2" t="s">
        <v>170</v>
      </c>
      <c r="AW1" s="2" t="s">
        <v>171</v>
      </c>
      <c r="AX1" s="2" t="s">
        <v>172</v>
      </c>
      <c r="AY1" s="2" t="s">
        <v>173</v>
      </c>
      <c r="AZ1" s="2" t="s">
        <v>174</v>
      </c>
      <c r="BA1" s="2" t="s">
        <v>175</v>
      </c>
      <c r="BB1" s="2" t="s">
        <v>176</v>
      </c>
      <c r="BC1" s="2" t="s">
        <v>177</v>
      </c>
      <c r="BD1" s="2" t="s">
        <v>178</v>
      </c>
      <c r="BE1" s="2" t="s">
        <v>179</v>
      </c>
      <c r="BF1" s="2" t="s">
        <v>180</v>
      </c>
    </row>
    <row r="2" spans="1:58" x14ac:dyDescent="0.2">
      <c r="A2" s="3" t="s">
        <v>181</v>
      </c>
      <c r="B2" s="3">
        <v>1</v>
      </c>
      <c r="C2" s="3" t="s">
        <v>182</v>
      </c>
      <c r="D2" s="3">
        <v>2402</v>
      </c>
      <c r="E2" s="3" t="s">
        <v>183</v>
      </c>
      <c r="F2" s="3" t="s">
        <v>184</v>
      </c>
      <c r="G2" s="3" t="s">
        <v>185</v>
      </c>
      <c r="H2" s="4" t="s">
        <v>186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 t="s">
        <v>187</v>
      </c>
      <c r="W2" s="5"/>
      <c r="X2" s="5"/>
      <c r="Y2" s="5"/>
      <c r="Z2" s="5" t="s">
        <v>101</v>
      </c>
      <c r="AA2" s="5" t="s">
        <v>101</v>
      </c>
      <c r="AB2" s="5"/>
      <c r="AC2" s="5"/>
      <c r="AD2" s="5"/>
      <c r="AE2" s="5"/>
      <c r="AF2" s="5" t="s">
        <v>101</v>
      </c>
      <c r="AG2" s="5" t="s">
        <v>101</v>
      </c>
      <c r="AH2" s="5" t="s">
        <v>101</v>
      </c>
      <c r="AI2" s="5" t="s">
        <v>101</v>
      </c>
      <c r="AJ2" s="5" t="s">
        <v>101</v>
      </c>
      <c r="AK2" s="5" t="s">
        <v>101</v>
      </c>
      <c r="AL2" s="5" t="s">
        <v>101</v>
      </c>
      <c r="AM2" s="5" t="s">
        <v>101</v>
      </c>
      <c r="AN2" s="5"/>
      <c r="AO2" s="5" t="s">
        <v>188</v>
      </c>
      <c r="AP2" s="5" t="s">
        <v>101</v>
      </c>
      <c r="AQ2" s="5"/>
      <c r="AR2" s="5"/>
      <c r="AS2" s="5"/>
      <c r="AT2" s="5" t="s">
        <v>101</v>
      </c>
      <c r="AU2" s="5"/>
      <c r="AV2" s="5" t="s">
        <v>101</v>
      </c>
      <c r="AW2" s="5"/>
      <c r="AX2" s="5"/>
      <c r="AY2" s="5"/>
      <c r="AZ2" s="6" t="str">
        <f t="shared" ref="AZ2:AZ33" si="0">IF(AND(I2&lt;&gt;"",P2&lt;&gt;"",R2&lt;&gt;""),"Complete",IF(COUNTA(I2:R2)=0,"Missing","Partial"))</f>
        <v>Missing</v>
      </c>
      <c r="BA2" s="7" t="str">
        <f t="shared" ref="BA2:BA33" ca="1" si="1">IF(OR(Z2&lt;&gt;"Yes",AA2&lt;&gt;"Yes",AE2=""),"Missing",IF(AE2&lt;TODAY(),"Expired",IF(AE2&lt;=TODAY()+30,"Renewal &lt;30d",IF(AND(AF2="Yes",AG2="Yes",AJ2="Yes"),"Verified","Review"))))</f>
        <v>Missing</v>
      </c>
      <c r="BB2" s="7" t="str">
        <f t="shared" ref="BB2:BB33" si="2">IF(AND(AJ2="Yes",AK2="Yes",AL2="Yes",OR(V2&lt;&gt;"Tenant",AM2="Yes")),"Complete",IF(COUNTIF(AJ2:AM2,"Yes")=0,"Missing","Partial"))</f>
        <v>Missing</v>
      </c>
      <c r="BC2" s="7" t="str">
        <f t="shared" ref="BC2:BC33" si="3">IF(AP2="Yes","Active Issue",IF(AN2="Replacement Risk","Replacement Risk",IF(AN2="Repair Needed","Repair Needed",IF(AN2="Monitor","Monitor","OK"))))</f>
        <v>OK</v>
      </c>
      <c r="BD2" s="7" t="str">
        <f t="shared" ref="BD2:BD33" si="4">IF(AT2="Yes","Open Case",IF(AV2="Yes","Board Review","Clear"))</f>
        <v>Clear</v>
      </c>
      <c r="BE2" s="7" t="str">
        <f t="shared" ref="BE2:BE33" ca="1" si="5">IF(OR(BB2="Missing",BB2="Expired",BD2="Active Issue",BD2="Replacement Risk",BE2="Open Case",BC2="Missing"),"Immediate Action",IF(OR(BB2="Renewal &lt;30d",BB2="Review",BC2="Partial",BD2="Monitor",BE2="Board Review",BA2="Partial"),"Follow Up","Complete"))</f>
        <v/>
      </c>
      <c r="BF2" s="7" t="str">
        <f t="shared" ref="BF2:BF33" ca="1" si="6">(BA2&lt;&gt;"Complete")*1+(OR(BB2="Missing",BB2="Expired"))*3+(BB2="Renewal &lt;30d")*2+(BC2&lt;&gt;"Complete")*2+(OR(BD2="Active Issue",BD2="Replacement Risk"))*3+(BE2&lt;&gt;"Clear")*2+(H2="Review")*1</f>
        <v/>
      </c>
    </row>
    <row r="3" spans="1:58" x14ac:dyDescent="0.2">
      <c r="A3" s="3" t="s">
        <v>189</v>
      </c>
      <c r="B3" s="3">
        <v>1</v>
      </c>
      <c r="C3" s="3" t="s">
        <v>182</v>
      </c>
      <c r="D3" s="3">
        <v>2404</v>
      </c>
      <c r="E3" s="3" t="s">
        <v>190</v>
      </c>
      <c r="F3" s="3" t="s">
        <v>191</v>
      </c>
      <c r="G3" s="3" t="s">
        <v>192</v>
      </c>
      <c r="H3" s="4" t="s">
        <v>186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 t="s">
        <v>187</v>
      </c>
      <c r="W3" s="5"/>
      <c r="X3" s="5"/>
      <c r="Y3" s="5"/>
      <c r="Z3" s="5" t="s">
        <v>101</v>
      </c>
      <c r="AA3" s="5" t="s">
        <v>101</v>
      </c>
      <c r="AB3" s="5"/>
      <c r="AC3" s="5"/>
      <c r="AD3" s="5"/>
      <c r="AE3" s="5"/>
      <c r="AF3" s="5" t="s">
        <v>101</v>
      </c>
      <c r="AG3" s="5" t="s">
        <v>101</v>
      </c>
      <c r="AH3" s="5" t="s">
        <v>101</v>
      </c>
      <c r="AI3" s="5" t="s">
        <v>101</v>
      </c>
      <c r="AJ3" s="5" t="s">
        <v>101</v>
      </c>
      <c r="AK3" s="5" t="s">
        <v>101</v>
      </c>
      <c r="AL3" s="5" t="s">
        <v>101</v>
      </c>
      <c r="AM3" s="5" t="s">
        <v>101</v>
      </c>
      <c r="AN3" s="5"/>
      <c r="AO3" s="5" t="s">
        <v>188</v>
      </c>
      <c r="AP3" s="5" t="s">
        <v>101</v>
      </c>
      <c r="AQ3" s="5"/>
      <c r="AR3" s="5"/>
      <c r="AS3" s="5"/>
      <c r="AT3" s="5" t="s">
        <v>101</v>
      </c>
      <c r="AU3" s="5"/>
      <c r="AV3" s="5" t="s">
        <v>101</v>
      </c>
      <c r="AW3" s="5"/>
      <c r="AX3" s="5"/>
      <c r="AY3" s="5"/>
      <c r="AZ3" s="6" t="str">
        <f t="shared" si="0"/>
        <v>Missing</v>
      </c>
      <c r="BA3" s="7" t="str">
        <f t="shared" ca="1" si="1"/>
        <v>Missing</v>
      </c>
      <c r="BB3" s="7" t="str">
        <f t="shared" si="2"/>
        <v>Missing</v>
      </c>
      <c r="BC3" s="7" t="str">
        <f t="shared" si="3"/>
        <v>OK</v>
      </c>
      <c r="BD3" s="7" t="str">
        <f t="shared" si="4"/>
        <v>Clear</v>
      </c>
      <c r="BE3" s="7" t="str">
        <f t="shared" ca="1" si="5"/>
        <v/>
      </c>
      <c r="BF3" s="7" t="str">
        <f t="shared" ca="1" si="6"/>
        <v/>
      </c>
    </row>
    <row r="4" spans="1:58" x14ac:dyDescent="0.2">
      <c r="A4" s="3" t="s">
        <v>193</v>
      </c>
      <c r="B4" s="3">
        <v>1</v>
      </c>
      <c r="C4" s="3" t="s">
        <v>182</v>
      </c>
      <c r="D4" s="3">
        <v>2406</v>
      </c>
      <c r="E4" s="3" t="s">
        <v>194</v>
      </c>
      <c r="F4" s="3" t="s">
        <v>195</v>
      </c>
      <c r="G4" s="3" t="s">
        <v>196</v>
      </c>
      <c r="H4" s="4" t="s">
        <v>186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 t="s">
        <v>187</v>
      </c>
      <c r="W4" s="5"/>
      <c r="X4" s="5"/>
      <c r="Y4" s="5"/>
      <c r="Z4" s="5" t="s">
        <v>101</v>
      </c>
      <c r="AA4" s="5" t="s">
        <v>101</v>
      </c>
      <c r="AB4" s="5"/>
      <c r="AC4" s="5"/>
      <c r="AD4" s="5"/>
      <c r="AE4" s="5"/>
      <c r="AF4" s="5" t="s">
        <v>101</v>
      </c>
      <c r="AG4" s="5" t="s">
        <v>101</v>
      </c>
      <c r="AH4" s="5" t="s">
        <v>101</v>
      </c>
      <c r="AI4" s="5" t="s">
        <v>101</v>
      </c>
      <c r="AJ4" s="5" t="s">
        <v>101</v>
      </c>
      <c r="AK4" s="5" t="s">
        <v>101</v>
      </c>
      <c r="AL4" s="5" t="s">
        <v>101</v>
      </c>
      <c r="AM4" s="5" t="s">
        <v>101</v>
      </c>
      <c r="AN4" s="5"/>
      <c r="AO4" s="5" t="s">
        <v>188</v>
      </c>
      <c r="AP4" s="5" t="s">
        <v>101</v>
      </c>
      <c r="AQ4" s="5"/>
      <c r="AR4" s="5"/>
      <c r="AS4" s="5"/>
      <c r="AT4" s="5" t="s">
        <v>101</v>
      </c>
      <c r="AU4" s="5"/>
      <c r="AV4" s="5" t="s">
        <v>101</v>
      </c>
      <c r="AW4" s="5"/>
      <c r="AX4" s="5"/>
      <c r="AY4" s="5"/>
      <c r="AZ4" s="6" t="str">
        <f t="shared" si="0"/>
        <v>Missing</v>
      </c>
      <c r="BA4" s="7" t="str">
        <f t="shared" ca="1" si="1"/>
        <v>Missing</v>
      </c>
      <c r="BB4" s="7" t="str">
        <f t="shared" si="2"/>
        <v>Missing</v>
      </c>
      <c r="BC4" s="7" t="str">
        <f t="shared" si="3"/>
        <v>OK</v>
      </c>
      <c r="BD4" s="7" t="str">
        <f t="shared" si="4"/>
        <v>Clear</v>
      </c>
      <c r="BE4" s="7" t="str">
        <f t="shared" ca="1" si="5"/>
        <v/>
      </c>
      <c r="BF4" s="7" t="str">
        <f t="shared" ca="1" si="6"/>
        <v/>
      </c>
    </row>
    <row r="5" spans="1:58" x14ac:dyDescent="0.2">
      <c r="A5" s="3" t="s">
        <v>197</v>
      </c>
      <c r="B5" s="3">
        <v>1</v>
      </c>
      <c r="C5" s="3" t="s">
        <v>182</v>
      </c>
      <c r="D5" s="3">
        <v>2408</v>
      </c>
      <c r="E5" s="3" t="s">
        <v>198</v>
      </c>
      <c r="F5" s="3" t="s">
        <v>199</v>
      </c>
      <c r="G5" s="3" t="s">
        <v>200</v>
      </c>
      <c r="H5" s="4" t="s">
        <v>186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 t="s">
        <v>187</v>
      </c>
      <c r="W5" s="5"/>
      <c r="X5" s="5"/>
      <c r="Y5" s="5"/>
      <c r="Z5" s="5" t="s">
        <v>101</v>
      </c>
      <c r="AA5" s="5" t="s">
        <v>101</v>
      </c>
      <c r="AB5" s="5"/>
      <c r="AC5" s="5"/>
      <c r="AD5" s="5"/>
      <c r="AE5" s="5"/>
      <c r="AF5" s="5" t="s">
        <v>101</v>
      </c>
      <c r="AG5" s="5" t="s">
        <v>101</v>
      </c>
      <c r="AH5" s="5" t="s">
        <v>101</v>
      </c>
      <c r="AI5" s="5" t="s">
        <v>101</v>
      </c>
      <c r="AJ5" s="5" t="s">
        <v>101</v>
      </c>
      <c r="AK5" s="5" t="s">
        <v>101</v>
      </c>
      <c r="AL5" s="5" t="s">
        <v>101</v>
      </c>
      <c r="AM5" s="5" t="s">
        <v>101</v>
      </c>
      <c r="AN5" s="5"/>
      <c r="AO5" s="5" t="s">
        <v>188</v>
      </c>
      <c r="AP5" s="5" t="s">
        <v>101</v>
      </c>
      <c r="AQ5" s="5"/>
      <c r="AR5" s="5"/>
      <c r="AS5" s="5"/>
      <c r="AT5" s="5" t="s">
        <v>101</v>
      </c>
      <c r="AU5" s="5"/>
      <c r="AV5" s="5" t="s">
        <v>101</v>
      </c>
      <c r="AW5" s="5"/>
      <c r="AX5" s="5"/>
      <c r="AY5" s="5"/>
      <c r="AZ5" s="6" t="str">
        <f t="shared" si="0"/>
        <v>Missing</v>
      </c>
      <c r="BA5" s="7" t="str">
        <f t="shared" ca="1" si="1"/>
        <v>Missing</v>
      </c>
      <c r="BB5" s="7" t="str">
        <f t="shared" si="2"/>
        <v>Missing</v>
      </c>
      <c r="BC5" s="7" t="str">
        <f t="shared" si="3"/>
        <v>OK</v>
      </c>
      <c r="BD5" s="7" t="str">
        <f t="shared" si="4"/>
        <v>Clear</v>
      </c>
      <c r="BE5" s="7" t="str">
        <f t="shared" ca="1" si="5"/>
        <v/>
      </c>
      <c r="BF5" s="7" t="str">
        <f t="shared" ca="1" si="6"/>
        <v/>
      </c>
    </row>
    <row r="6" spans="1:58" x14ac:dyDescent="0.2">
      <c r="A6" s="3" t="s">
        <v>201</v>
      </c>
      <c r="B6" s="3">
        <v>1</v>
      </c>
      <c r="C6" s="3" t="s">
        <v>182</v>
      </c>
      <c r="D6" s="3">
        <v>2410</v>
      </c>
      <c r="E6" s="3" t="s">
        <v>202</v>
      </c>
      <c r="F6" s="3" t="s">
        <v>203</v>
      </c>
      <c r="G6" s="3" t="s">
        <v>204</v>
      </c>
      <c r="H6" s="4" t="s">
        <v>186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 t="s">
        <v>187</v>
      </c>
      <c r="W6" s="5"/>
      <c r="X6" s="5"/>
      <c r="Y6" s="5"/>
      <c r="Z6" s="5" t="s">
        <v>101</v>
      </c>
      <c r="AA6" s="5" t="s">
        <v>101</v>
      </c>
      <c r="AB6" s="5"/>
      <c r="AC6" s="5"/>
      <c r="AD6" s="5"/>
      <c r="AE6" s="5"/>
      <c r="AF6" s="5" t="s">
        <v>101</v>
      </c>
      <c r="AG6" s="5" t="s">
        <v>101</v>
      </c>
      <c r="AH6" s="5" t="s">
        <v>101</v>
      </c>
      <c r="AI6" s="5" t="s">
        <v>101</v>
      </c>
      <c r="AJ6" s="5" t="s">
        <v>101</v>
      </c>
      <c r="AK6" s="5" t="s">
        <v>101</v>
      </c>
      <c r="AL6" s="5" t="s">
        <v>101</v>
      </c>
      <c r="AM6" s="5" t="s">
        <v>101</v>
      </c>
      <c r="AN6" s="5"/>
      <c r="AO6" s="5" t="s">
        <v>188</v>
      </c>
      <c r="AP6" s="5" t="s">
        <v>101</v>
      </c>
      <c r="AQ6" s="5"/>
      <c r="AR6" s="5"/>
      <c r="AS6" s="5"/>
      <c r="AT6" s="5" t="s">
        <v>101</v>
      </c>
      <c r="AU6" s="5"/>
      <c r="AV6" s="5" t="s">
        <v>101</v>
      </c>
      <c r="AW6" s="5"/>
      <c r="AX6" s="5"/>
      <c r="AY6" s="5"/>
      <c r="AZ6" s="6" t="str">
        <f t="shared" si="0"/>
        <v>Missing</v>
      </c>
      <c r="BA6" s="7" t="str">
        <f t="shared" ca="1" si="1"/>
        <v>Missing</v>
      </c>
      <c r="BB6" s="7" t="str">
        <f t="shared" si="2"/>
        <v>Missing</v>
      </c>
      <c r="BC6" s="7" t="str">
        <f t="shared" si="3"/>
        <v>OK</v>
      </c>
      <c r="BD6" s="7" t="str">
        <f t="shared" si="4"/>
        <v>Clear</v>
      </c>
      <c r="BE6" s="7" t="str">
        <f t="shared" ca="1" si="5"/>
        <v/>
      </c>
      <c r="BF6" s="7" t="str">
        <f t="shared" ca="1" si="6"/>
        <v/>
      </c>
    </row>
    <row r="7" spans="1:58" x14ac:dyDescent="0.2">
      <c r="A7" s="3" t="s">
        <v>205</v>
      </c>
      <c r="B7" s="3">
        <v>1</v>
      </c>
      <c r="C7" s="3" t="s">
        <v>182</v>
      </c>
      <c r="D7" s="3">
        <v>2412</v>
      </c>
      <c r="E7" s="3" t="s">
        <v>206</v>
      </c>
      <c r="F7" s="3" t="s">
        <v>207</v>
      </c>
      <c r="G7" s="3" t="s">
        <v>208</v>
      </c>
      <c r="H7" s="4" t="s">
        <v>186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 t="s">
        <v>187</v>
      </c>
      <c r="W7" s="5"/>
      <c r="X7" s="5"/>
      <c r="Y7" s="5"/>
      <c r="Z7" s="5" t="s">
        <v>101</v>
      </c>
      <c r="AA7" s="5" t="s">
        <v>101</v>
      </c>
      <c r="AB7" s="5"/>
      <c r="AC7" s="5"/>
      <c r="AD7" s="5"/>
      <c r="AE7" s="5"/>
      <c r="AF7" s="5" t="s">
        <v>101</v>
      </c>
      <c r="AG7" s="5" t="s">
        <v>101</v>
      </c>
      <c r="AH7" s="5" t="s">
        <v>101</v>
      </c>
      <c r="AI7" s="5" t="s">
        <v>101</v>
      </c>
      <c r="AJ7" s="5" t="s">
        <v>101</v>
      </c>
      <c r="AK7" s="5" t="s">
        <v>101</v>
      </c>
      <c r="AL7" s="5" t="s">
        <v>101</v>
      </c>
      <c r="AM7" s="5" t="s">
        <v>101</v>
      </c>
      <c r="AN7" s="5"/>
      <c r="AO7" s="5" t="s">
        <v>188</v>
      </c>
      <c r="AP7" s="5" t="s">
        <v>101</v>
      </c>
      <c r="AQ7" s="5"/>
      <c r="AR7" s="5"/>
      <c r="AS7" s="5"/>
      <c r="AT7" s="5" t="s">
        <v>101</v>
      </c>
      <c r="AU7" s="5"/>
      <c r="AV7" s="5" t="s">
        <v>101</v>
      </c>
      <c r="AW7" s="5"/>
      <c r="AX7" s="5"/>
      <c r="AY7" s="5"/>
      <c r="AZ7" s="6" t="str">
        <f t="shared" si="0"/>
        <v>Missing</v>
      </c>
      <c r="BA7" s="7" t="str">
        <f t="shared" ca="1" si="1"/>
        <v>Missing</v>
      </c>
      <c r="BB7" s="7" t="str">
        <f t="shared" si="2"/>
        <v>Missing</v>
      </c>
      <c r="BC7" s="7" t="str">
        <f t="shared" si="3"/>
        <v>OK</v>
      </c>
      <c r="BD7" s="7" t="str">
        <f t="shared" si="4"/>
        <v>Clear</v>
      </c>
      <c r="BE7" s="7" t="str">
        <f t="shared" ca="1" si="5"/>
        <v/>
      </c>
      <c r="BF7" s="7" t="str">
        <f t="shared" ca="1" si="6"/>
        <v/>
      </c>
    </row>
    <row r="8" spans="1:58" x14ac:dyDescent="0.2">
      <c r="A8" s="3" t="s">
        <v>209</v>
      </c>
      <c r="B8" s="3">
        <v>1</v>
      </c>
      <c r="C8" s="3" t="s">
        <v>182</v>
      </c>
      <c r="D8" s="3">
        <v>2414</v>
      </c>
      <c r="E8" s="3" t="s">
        <v>210</v>
      </c>
      <c r="F8" s="3" t="s">
        <v>211</v>
      </c>
      <c r="G8" s="3" t="s">
        <v>212</v>
      </c>
      <c r="H8" s="4" t="s">
        <v>186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 t="s">
        <v>187</v>
      </c>
      <c r="W8" s="5"/>
      <c r="X8" s="5"/>
      <c r="Y8" s="5"/>
      <c r="Z8" s="5" t="s">
        <v>101</v>
      </c>
      <c r="AA8" s="5" t="s">
        <v>101</v>
      </c>
      <c r="AB8" s="5"/>
      <c r="AC8" s="5"/>
      <c r="AD8" s="5"/>
      <c r="AE8" s="5"/>
      <c r="AF8" s="5" t="s">
        <v>101</v>
      </c>
      <c r="AG8" s="5" t="s">
        <v>101</v>
      </c>
      <c r="AH8" s="5" t="s">
        <v>101</v>
      </c>
      <c r="AI8" s="5" t="s">
        <v>101</v>
      </c>
      <c r="AJ8" s="5" t="s">
        <v>101</v>
      </c>
      <c r="AK8" s="5" t="s">
        <v>101</v>
      </c>
      <c r="AL8" s="5" t="s">
        <v>101</v>
      </c>
      <c r="AM8" s="5" t="s">
        <v>101</v>
      </c>
      <c r="AN8" s="5"/>
      <c r="AO8" s="5" t="s">
        <v>188</v>
      </c>
      <c r="AP8" s="5" t="s">
        <v>101</v>
      </c>
      <c r="AQ8" s="5"/>
      <c r="AR8" s="5"/>
      <c r="AS8" s="5"/>
      <c r="AT8" s="5" t="s">
        <v>101</v>
      </c>
      <c r="AU8" s="5"/>
      <c r="AV8" s="5" t="s">
        <v>101</v>
      </c>
      <c r="AW8" s="5"/>
      <c r="AX8" s="5"/>
      <c r="AY8" s="5"/>
      <c r="AZ8" s="6" t="str">
        <f t="shared" si="0"/>
        <v>Missing</v>
      </c>
      <c r="BA8" s="7" t="str">
        <f t="shared" ca="1" si="1"/>
        <v>Missing</v>
      </c>
      <c r="BB8" s="7" t="str">
        <f t="shared" si="2"/>
        <v>Missing</v>
      </c>
      <c r="BC8" s="7" t="str">
        <f t="shared" si="3"/>
        <v>OK</v>
      </c>
      <c r="BD8" s="7" t="str">
        <f t="shared" si="4"/>
        <v>Clear</v>
      </c>
      <c r="BE8" s="7" t="str">
        <f t="shared" ca="1" si="5"/>
        <v/>
      </c>
      <c r="BF8" s="7" t="str">
        <f t="shared" ca="1" si="6"/>
        <v/>
      </c>
    </row>
    <row r="9" spans="1:58" x14ac:dyDescent="0.2">
      <c r="A9" s="3" t="s">
        <v>213</v>
      </c>
      <c r="B9" s="3">
        <v>2</v>
      </c>
      <c r="C9" s="3" t="s">
        <v>182</v>
      </c>
      <c r="D9" s="3">
        <v>2502</v>
      </c>
      <c r="E9" s="3" t="s">
        <v>214</v>
      </c>
      <c r="F9" s="3" t="s">
        <v>215</v>
      </c>
      <c r="G9" s="3" t="s">
        <v>216</v>
      </c>
      <c r="H9" s="4" t="s">
        <v>186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 t="s">
        <v>187</v>
      </c>
      <c r="W9" s="5"/>
      <c r="X9" s="5"/>
      <c r="Y9" s="5"/>
      <c r="Z9" s="5" t="s">
        <v>101</v>
      </c>
      <c r="AA9" s="5" t="s">
        <v>101</v>
      </c>
      <c r="AB9" s="5"/>
      <c r="AC9" s="5"/>
      <c r="AD9" s="5"/>
      <c r="AE9" s="5"/>
      <c r="AF9" s="5" t="s">
        <v>101</v>
      </c>
      <c r="AG9" s="5" t="s">
        <v>101</v>
      </c>
      <c r="AH9" s="5" t="s">
        <v>101</v>
      </c>
      <c r="AI9" s="5" t="s">
        <v>101</v>
      </c>
      <c r="AJ9" s="5" t="s">
        <v>101</v>
      </c>
      <c r="AK9" s="5" t="s">
        <v>101</v>
      </c>
      <c r="AL9" s="5" t="s">
        <v>101</v>
      </c>
      <c r="AM9" s="5" t="s">
        <v>101</v>
      </c>
      <c r="AN9" s="5"/>
      <c r="AO9" s="5" t="s">
        <v>188</v>
      </c>
      <c r="AP9" s="5" t="s">
        <v>101</v>
      </c>
      <c r="AQ9" s="5"/>
      <c r="AR9" s="5"/>
      <c r="AS9" s="5"/>
      <c r="AT9" s="5" t="s">
        <v>101</v>
      </c>
      <c r="AU9" s="5"/>
      <c r="AV9" s="5" t="s">
        <v>101</v>
      </c>
      <c r="AW9" s="5"/>
      <c r="AX9" s="5"/>
      <c r="AY9" s="5"/>
      <c r="AZ9" s="6" t="str">
        <f t="shared" si="0"/>
        <v>Missing</v>
      </c>
      <c r="BA9" s="7" t="str">
        <f t="shared" ca="1" si="1"/>
        <v>Missing</v>
      </c>
      <c r="BB9" s="7" t="str">
        <f t="shared" si="2"/>
        <v>Missing</v>
      </c>
      <c r="BC9" s="7" t="str">
        <f t="shared" si="3"/>
        <v>OK</v>
      </c>
      <c r="BD9" s="7" t="str">
        <f t="shared" si="4"/>
        <v>Clear</v>
      </c>
      <c r="BE9" s="7" t="str">
        <f t="shared" ca="1" si="5"/>
        <v/>
      </c>
      <c r="BF9" s="7" t="str">
        <f t="shared" ca="1" si="6"/>
        <v/>
      </c>
    </row>
    <row r="10" spans="1:58" x14ac:dyDescent="0.2">
      <c r="A10" s="3" t="s">
        <v>217</v>
      </c>
      <c r="B10" s="3">
        <v>2</v>
      </c>
      <c r="C10" s="3" t="s">
        <v>182</v>
      </c>
      <c r="D10" s="3">
        <v>2504</v>
      </c>
      <c r="E10" s="3" t="s">
        <v>218</v>
      </c>
      <c r="F10" s="3" t="s">
        <v>219</v>
      </c>
      <c r="G10" s="3" t="s">
        <v>220</v>
      </c>
      <c r="H10" s="4" t="s">
        <v>186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 t="s">
        <v>187</v>
      </c>
      <c r="W10" s="5"/>
      <c r="X10" s="5"/>
      <c r="Y10" s="5"/>
      <c r="Z10" s="5" t="s">
        <v>101</v>
      </c>
      <c r="AA10" s="5" t="s">
        <v>101</v>
      </c>
      <c r="AB10" s="5"/>
      <c r="AC10" s="5"/>
      <c r="AD10" s="5"/>
      <c r="AE10" s="5"/>
      <c r="AF10" s="5" t="s">
        <v>101</v>
      </c>
      <c r="AG10" s="5" t="s">
        <v>101</v>
      </c>
      <c r="AH10" s="5" t="s">
        <v>101</v>
      </c>
      <c r="AI10" s="5" t="s">
        <v>101</v>
      </c>
      <c r="AJ10" s="5" t="s">
        <v>101</v>
      </c>
      <c r="AK10" s="5" t="s">
        <v>101</v>
      </c>
      <c r="AL10" s="5" t="s">
        <v>101</v>
      </c>
      <c r="AM10" s="5" t="s">
        <v>101</v>
      </c>
      <c r="AN10" s="5"/>
      <c r="AO10" s="5" t="s">
        <v>188</v>
      </c>
      <c r="AP10" s="5" t="s">
        <v>101</v>
      </c>
      <c r="AQ10" s="5"/>
      <c r="AR10" s="5"/>
      <c r="AS10" s="5"/>
      <c r="AT10" s="5" t="s">
        <v>101</v>
      </c>
      <c r="AU10" s="5"/>
      <c r="AV10" s="5" t="s">
        <v>101</v>
      </c>
      <c r="AW10" s="5"/>
      <c r="AX10" s="5"/>
      <c r="AY10" s="5"/>
      <c r="AZ10" s="6" t="str">
        <f t="shared" si="0"/>
        <v>Missing</v>
      </c>
      <c r="BA10" s="7" t="str">
        <f t="shared" ca="1" si="1"/>
        <v>Missing</v>
      </c>
      <c r="BB10" s="7" t="str">
        <f t="shared" si="2"/>
        <v>Missing</v>
      </c>
      <c r="BC10" s="7" t="str">
        <f t="shared" si="3"/>
        <v>OK</v>
      </c>
      <c r="BD10" s="7" t="str">
        <f t="shared" si="4"/>
        <v>Clear</v>
      </c>
      <c r="BE10" s="7" t="str">
        <f t="shared" ca="1" si="5"/>
        <v/>
      </c>
      <c r="BF10" s="7" t="str">
        <f t="shared" ca="1" si="6"/>
        <v/>
      </c>
    </row>
    <row r="11" spans="1:58" x14ac:dyDescent="0.2">
      <c r="A11" s="3" t="s">
        <v>221</v>
      </c>
      <c r="B11" s="3">
        <v>2</v>
      </c>
      <c r="C11" s="3" t="s">
        <v>182</v>
      </c>
      <c r="D11" s="3">
        <v>2506</v>
      </c>
      <c r="E11" s="3" t="s">
        <v>222</v>
      </c>
      <c r="F11" s="3" t="s">
        <v>223</v>
      </c>
      <c r="G11" s="3" t="s">
        <v>224</v>
      </c>
      <c r="H11" s="4" t="s">
        <v>186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 t="s">
        <v>187</v>
      </c>
      <c r="W11" s="5"/>
      <c r="X11" s="5"/>
      <c r="Y11" s="5"/>
      <c r="Z11" s="5" t="s">
        <v>101</v>
      </c>
      <c r="AA11" s="5" t="s">
        <v>101</v>
      </c>
      <c r="AB11" s="5"/>
      <c r="AC11" s="5"/>
      <c r="AD11" s="5"/>
      <c r="AE11" s="5"/>
      <c r="AF11" s="5" t="s">
        <v>101</v>
      </c>
      <c r="AG11" s="5" t="s">
        <v>101</v>
      </c>
      <c r="AH11" s="5" t="s">
        <v>101</v>
      </c>
      <c r="AI11" s="5" t="s">
        <v>101</v>
      </c>
      <c r="AJ11" s="5" t="s">
        <v>101</v>
      </c>
      <c r="AK11" s="5" t="s">
        <v>101</v>
      </c>
      <c r="AL11" s="5" t="s">
        <v>101</v>
      </c>
      <c r="AM11" s="5" t="s">
        <v>101</v>
      </c>
      <c r="AN11" s="5"/>
      <c r="AO11" s="5" t="s">
        <v>188</v>
      </c>
      <c r="AP11" s="5" t="s">
        <v>101</v>
      </c>
      <c r="AQ11" s="5"/>
      <c r="AR11" s="5"/>
      <c r="AS11" s="5"/>
      <c r="AT11" s="5" t="s">
        <v>101</v>
      </c>
      <c r="AU11" s="5"/>
      <c r="AV11" s="5" t="s">
        <v>101</v>
      </c>
      <c r="AW11" s="5"/>
      <c r="AX11" s="5"/>
      <c r="AY11" s="5"/>
      <c r="AZ11" s="6" t="str">
        <f t="shared" si="0"/>
        <v>Missing</v>
      </c>
      <c r="BA11" s="7" t="str">
        <f t="shared" ca="1" si="1"/>
        <v>Missing</v>
      </c>
      <c r="BB11" s="7" t="str">
        <f t="shared" si="2"/>
        <v>Missing</v>
      </c>
      <c r="BC11" s="7" t="str">
        <f t="shared" si="3"/>
        <v>OK</v>
      </c>
      <c r="BD11" s="7" t="str">
        <f t="shared" si="4"/>
        <v>Clear</v>
      </c>
      <c r="BE11" s="7" t="str">
        <f t="shared" ca="1" si="5"/>
        <v/>
      </c>
      <c r="BF11" s="7" t="str">
        <f t="shared" ca="1" si="6"/>
        <v/>
      </c>
    </row>
    <row r="12" spans="1:58" x14ac:dyDescent="0.2">
      <c r="A12" s="3" t="s">
        <v>225</v>
      </c>
      <c r="B12" s="3">
        <v>2</v>
      </c>
      <c r="C12" s="3" t="s">
        <v>182</v>
      </c>
      <c r="D12" s="3">
        <v>2508</v>
      </c>
      <c r="E12" s="3" t="s">
        <v>226</v>
      </c>
      <c r="F12" s="3" t="s">
        <v>227</v>
      </c>
      <c r="G12" s="3" t="s">
        <v>228</v>
      </c>
      <c r="H12" s="4" t="s">
        <v>186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 t="s">
        <v>187</v>
      </c>
      <c r="W12" s="5"/>
      <c r="X12" s="5"/>
      <c r="Y12" s="5"/>
      <c r="Z12" s="5" t="s">
        <v>101</v>
      </c>
      <c r="AA12" s="5" t="s">
        <v>101</v>
      </c>
      <c r="AB12" s="5"/>
      <c r="AC12" s="5"/>
      <c r="AD12" s="5"/>
      <c r="AE12" s="5"/>
      <c r="AF12" s="5" t="s">
        <v>101</v>
      </c>
      <c r="AG12" s="5" t="s">
        <v>101</v>
      </c>
      <c r="AH12" s="5" t="s">
        <v>101</v>
      </c>
      <c r="AI12" s="5" t="s">
        <v>101</v>
      </c>
      <c r="AJ12" s="5" t="s">
        <v>101</v>
      </c>
      <c r="AK12" s="5" t="s">
        <v>101</v>
      </c>
      <c r="AL12" s="5" t="s">
        <v>101</v>
      </c>
      <c r="AM12" s="5" t="s">
        <v>101</v>
      </c>
      <c r="AN12" s="5"/>
      <c r="AO12" s="5" t="s">
        <v>188</v>
      </c>
      <c r="AP12" s="5" t="s">
        <v>101</v>
      </c>
      <c r="AQ12" s="5"/>
      <c r="AR12" s="5"/>
      <c r="AS12" s="5"/>
      <c r="AT12" s="5" t="s">
        <v>101</v>
      </c>
      <c r="AU12" s="5"/>
      <c r="AV12" s="5" t="s">
        <v>101</v>
      </c>
      <c r="AW12" s="5"/>
      <c r="AX12" s="5"/>
      <c r="AY12" s="5"/>
      <c r="AZ12" s="6" t="str">
        <f t="shared" si="0"/>
        <v>Missing</v>
      </c>
      <c r="BA12" s="7" t="str">
        <f t="shared" ca="1" si="1"/>
        <v>Missing</v>
      </c>
      <c r="BB12" s="7" t="str">
        <f t="shared" si="2"/>
        <v>Missing</v>
      </c>
      <c r="BC12" s="7" t="str">
        <f t="shared" si="3"/>
        <v>OK</v>
      </c>
      <c r="BD12" s="7" t="str">
        <f t="shared" si="4"/>
        <v>Clear</v>
      </c>
      <c r="BE12" s="7" t="str">
        <f t="shared" ca="1" si="5"/>
        <v/>
      </c>
      <c r="BF12" s="7" t="str">
        <f t="shared" ca="1" si="6"/>
        <v/>
      </c>
    </row>
    <row r="13" spans="1:58" x14ac:dyDescent="0.2">
      <c r="A13" s="3" t="s">
        <v>229</v>
      </c>
      <c r="B13" s="3">
        <v>2</v>
      </c>
      <c r="C13" s="3" t="s">
        <v>182</v>
      </c>
      <c r="D13" s="3">
        <v>2510</v>
      </c>
      <c r="E13" s="3" t="s">
        <v>230</v>
      </c>
      <c r="F13" s="3" t="s">
        <v>231</v>
      </c>
      <c r="G13" s="3" t="s">
        <v>232</v>
      </c>
      <c r="H13" s="4" t="s">
        <v>186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 t="s">
        <v>187</v>
      </c>
      <c r="W13" s="5"/>
      <c r="X13" s="5"/>
      <c r="Y13" s="5"/>
      <c r="Z13" s="5" t="s">
        <v>101</v>
      </c>
      <c r="AA13" s="5" t="s">
        <v>101</v>
      </c>
      <c r="AB13" s="5"/>
      <c r="AC13" s="5"/>
      <c r="AD13" s="5"/>
      <c r="AE13" s="5"/>
      <c r="AF13" s="5" t="s">
        <v>101</v>
      </c>
      <c r="AG13" s="5" t="s">
        <v>101</v>
      </c>
      <c r="AH13" s="5" t="s">
        <v>101</v>
      </c>
      <c r="AI13" s="5" t="s">
        <v>101</v>
      </c>
      <c r="AJ13" s="5" t="s">
        <v>101</v>
      </c>
      <c r="AK13" s="5" t="s">
        <v>101</v>
      </c>
      <c r="AL13" s="5" t="s">
        <v>101</v>
      </c>
      <c r="AM13" s="5" t="s">
        <v>101</v>
      </c>
      <c r="AN13" s="5"/>
      <c r="AO13" s="5" t="s">
        <v>188</v>
      </c>
      <c r="AP13" s="5" t="s">
        <v>101</v>
      </c>
      <c r="AQ13" s="5"/>
      <c r="AR13" s="5"/>
      <c r="AS13" s="5"/>
      <c r="AT13" s="5" t="s">
        <v>101</v>
      </c>
      <c r="AU13" s="5"/>
      <c r="AV13" s="5" t="s">
        <v>101</v>
      </c>
      <c r="AW13" s="5"/>
      <c r="AX13" s="5"/>
      <c r="AY13" s="5"/>
      <c r="AZ13" s="6" t="str">
        <f t="shared" si="0"/>
        <v>Missing</v>
      </c>
      <c r="BA13" s="7" t="str">
        <f t="shared" ca="1" si="1"/>
        <v>Missing</v>
      </c>
      <c r="BB13" s="7" t="str">
        <f t="shared" si="2"/>
        <v>Missing</v>
      </c>
      <c r="BC13" s="7" t="str">
        <f t="shared" si="3"/>
        <v>OK</v>
      </c>
      <c r="BD13" s="7" t="str">
        <f t="shared" si="4"/>
        <v>Clear</v>
      </c>
      <c r="BE13" s="7" t="str">
        <f t="shared" ca="1" si="5"/>
        <v/>
      </c>
      <c r="BF13" s="7" t="str">
        <f t="shared" ca="1" si="6"/>
        <v/>
      </c>
    </row>
    <row r="14" spans="1:58" x14ac:dyDescent="0.2">
      <c r="A14" s="3" t="s">
        <v>233</v>
      </c>
      <c r="B14" s="3">
        <v>2</v>
      </c>
      <c r="C14" s="3" t="s">
        <v>182</v>
      </c>
      <c r="D14" s="3">
        <v>2512</v>
      </c>
      <c r="E14" s="3" t="s">
        <v>234</v>
      </c>
      <c r="F14" s="3" t="s">
        <v>235</v>
      </c>
      <c r="G14" s="3" t="s">
        <v>236</v>
      </c>
      <c r="H14" s="4" t="s">
        <v>186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 t="s">
        <v>187</v>
      </c>
      <c r="W14" s="5"/>
      <c r="X14" s="5"/>
      <c r="Y14" s="5"/>
      <c r="Z14" s="5" t="s">
        <v>101</v>
      </c>
      <c r="AA14" s="5" t="s">
        <v>101</v>
      </c>
      <c r="AB14" s="5"/>
      <c r="AC14" s="5"/>
      <c r="AD14" s="5"/>
      <c r="AE14" s="5"/>
      <c r="AF14" s="5" t="s">
        <v>101</v>
      </c>
      <c r="AG14" s="5" t="s">
        <v>101</v>
      </c>
      <c r="AH14" s="5" t="s">
        <v>101</v>
      </c>
      <c r="AI14" s="5" t="s">
        <v>101</v>
      </c>
      <c r="AJ14" s="5" t="s">
        <v>101</v>
      </c>
      <c r="AK14" s="5" t="s">
        <v>101</v>
      </c>
      <c r="AL14" s="5" t="s">
        <v>101</v>
      </c>
      <c r="AM14" s="5" t="s">
        <v>101</v>
      </c>
      <c r="AN14" s="5"/>
      <c r="AO14" s="5" t="s">
        <v>188</v>
      </c>
      <c r="AP14" s="5" t="s">
        <v>101</v>
      </c>
      <c r="AQ14" s="5"/>
      <c r="AR14" s="5"/>
      <c r="AS14" s="5"/>
      <c r="AT14" s="5" t="s">
        <v>101</v>
      </c>
      <c r="AU14" s="5"/>
      <c r="AV14" s="5" t="s">
        <v>101</v>
      </c>
      <c r="AW14" s="5"/>
      <c r="AX14" s="5"/>
      <c r="AY14" s="5"/>
      <c r="AZ14" s="6" t="str">
        <f t="shared" si="0"/>
        <v>Missing</v>
      </c>
      <c r="BA14" s="7" t="str">
        <f t="shared" ca="1" si="1"/>
        <v>Missing</v>
      </c>
      <c r="BB14" s="7" t="str">
        <f t="shared" si="2"/>
        <v>Missing</v>
      </c>
      <c r="BC14" s="7" t="str">
        <f t="shared" si="3"/>
        <v>OK</v>
      </c>
      <c r="BD14" s="7" t="str">
        <f t="shared" si="4"/>
        <v>Clear</v>
      </c>
      <c r="BE14" s="7" t="str">
        <f t="shared" ca="1" si="5"/>
        <v/>
      </c>
      <c r="BF14" s="7" t="str">
        <f t="shared" ca="1" si="6"/>
        <v/>
      </c>
    </row>
    <row r="15" spans="1:58" x14ac:dyDescent="0.2">
      <c r="A15" s="3" t="s">
        <v>237</v>
      </c>
      <c r="B15" s="3">
        <v>3</v>
      </c>
      <c r="C15" s="3" t="s">
        <v>238</v>
      </c>
      <c r="D15" s="3">
        <v>2930</v>
      </c>
      <c r="E15" s="3" t="s">
        <v>239</v>
      </c>
      <c r="F15" s="3" t="s">
        <v>240</v>
      </c>
      <c r="G15" s="3" t="s">
        <v>241</v>
      </c>
      <c r="H15" s="4" t="s">
        <v>186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 t="s">
        <v>187</v>
      </c>
      <c r="W15" s="5"/>
      <c r="X15" s="5"/>
      <c r="Y15" s="5"/>
      <c r="Z15" s="5" t="s">
        <v>101</v>
      </c>
      <c r="AA15" s="5" t="s">
        <v>101</v>
      </c>
      <c r="AB15" s="5"/>
      <c r="AC15" s="5"/>
      <c r="AD15" s="5"/>
      <c r="AE15" s="5"/>
      <c r="AF15" s="5" t="s">
        <v>101</v>
      </c>
      <c r="AG15" s="5" t="s">
        <v>101</v>
      </c>
      <c r="AH15" s="5" t="s">
        <v>101</v>
      </c>
      <c r="AI15" s="5" t="s">
        <v>101</v>
      </c>
      <c r="AJ15" s="5" t="s">
        <v>101</v>
      </c>
      <c r="AK15" s="5" t="s">
        <v>101</v>
      </c>
      <c r="AL15" s="5" t="s">
        <v>101</v>
      </c>
      <c r="AM15" s="5" t="s">
        <v>101</v>
      </c>
      <c r="AN15" s="5"/>
      <c r="AO15" s="5" t="s">
        <v>188</v>
      </c>
      <c r="AP15" s="5" t="s">
        <v>101</v>
      </c>
      <c r="AQ15" s="5"/>
      <c r="AR15" s="5"/>
      <c r="AS15" s="5"/>
      <c r="AT15" s="5" t="s">
        <v>101</v>
      </c>
      <c r="AU15" s="5"/>
      <c r="AV15" s="5" t="s">
        <v>101</v>
      </c>
      <c r="AW15" s="5"/>
      <c r="AX15" s="5"/>
      <c r="AY15" s="5"/>
      <c r="AZ15" s="6" t="str">
        <f t="shared" si="0"/>
        <v>Missing</v>
      </c>
      <c r="BA15" s="7" t="str">
        <f t="shared" ca="1" si="1"/>
        <v>Missing</v>
      </c>
      <c r="BB15" s="7" t="str">
        <f t="shared" si="2"/>
        <v>Missing</v>
      </c>
      <c r="BC15" s="7" t="str">
        <f t="shared" si="3"/>
        <v>OK</v>
      </c>
      <c r="BD15" s="7" t="str">
        <f t="shared" si="4"/>
        <v>Clear</v>
      </c>
      <c r="BE15" s="7" t="str">
        <f t="shared" ca="1" si="5"/>
        <v/>
      </c>
      <c r="BF15" s="7" t="str">
        <f t="shared" ca="1" si="6"/>
        <v/>
      </c>
    </row>
    <row r="16" spans="1:58" x14ac:dyDescent="0.2">
      <c r="A16" s="3" t="s">
        <v>242</v>
      </c>
      <c r="B16" s="3">
        <v>3</v>
      </c>
      <c r="C16" s="3" t="s">
        <v>238</v>
      </c>
      <c r="D16" s="3">
        <v>2932</v>
      </c>
      <c r="E16" s="3" t="s">
        <v>243</v>
      </c>
      <c r="F16" s="3" t="s">
        <v>244</v>
      </c>
      <c r="G16" s="3" t="s">
        <v>245</v>
      </c>
      <c r="H16" s="4" t="s">
        <v>186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 t="s">
        <v>187</v>
      </c>
      <c r="W16" s="5"/>
      <c r="X16" s="5"/>
      <c r="Y16" s="5"/>
      <c r="Z16" s="5" t="s">
        <v>101</v>
      </c>
      <c r="AA16" s="5" t="s">
        <v>101</v>
      </c>
      <c r="AB16" s="5"/>
      <c r="AC16" s="5"/>
      <c r="AD16" s="5"/>
      <c r="AE16" s="5"/>
      <c r="AF16" s="5" t="s">
        <v>101</v>
      </c>
      <c r="AG16" s="5" t="s">
        <v>101</v>
      </c>
      <c r="AH16" s="5" t="s">
        <v>101</v>
      </c>
      <c r="AI16" s="5" t="s">
        <v>101</v>
      </c>
      <c r="AJ16" s="5" t="s">
        <v>101</v>
      </c>
      <c r="AK16" s="5" t="s">
        <v>101</v>
      </c>
      <c r="AL16" s="5" t="s">
        <v>101</v>
      </c>
      <c r="AM16" s="5" t="s">
        <v>101</v>
      </c>
      <c r="AN16" s="5"/>
      <c r="AO16" s="5" t="s">
        <v>188</v>
      </c>
      <c r="AP16" s="5" t="s">
        <v>101</v>
      </c>
      <c r="AQ16" s="5"/>
      <c r="AR16" s="5"/>
      <c r="AS16" s="5"/>
      <c r="AT16" s="5" t="s">
        <v>101</v>
      </c>
      <c r="AU16" s="5"/>
      <c r="AV16" s="5" t="s">
        <v>101</v>
      </c>
      <c r="AW16" s="5"/>
      <c r="AX16" s="5"/>
      <c r="AY16" s="5"/>
      <c r="AZ16" s="6" t="str">
        <f t="shared" si="0"/>
        <v>Missing</v>
      </c>
      <c r="BA16" s="7" t="str">
        <f t="shared" ca="1" si="1"/>
        <v>Missing</v>
      </c>
      <c r="BB16" s="7" t="str">
        <f t="shared" si="2"/>
        <v>Missing</v>
      </c>
      <c r="BC16" s="7" t="str">
        <f t="shared" si="3"/>
        <v>OK</v>
      </c>
      <c r="BD16" s="7" t="str">
        <f t="shared" si="4"/>
        <v>Clear</v>
      </c>
      <c r="BE16" s="7" t="str">
        <f t="shared" ca="1" si="5"/>
        <v/>
      </c>
      <c r="BF16" s="7" t="str">
        <f t="shared" ca="1" si="6"/>
        <v/>
      </c>
    </row>
    <row r="17" spans="1:58" x14ac:dyDescent="0.2">
      <c r="A17" s="3" t="s">
        <v>246</v>
      </c>
      <c r="B17" s="3">
        <v>3</v>
      </c>
      <c r="C17" s="3" t="s">
        <v>238</v>
      </c>
      <c r="D17" s="3">
        <v>2934</v>
      </c>
      <c r="E17" s="3" t="s">
        <v>247</v>
      </c>
      <c r="F17" s="3" t="s">
        <v>248</v>
      </c>
      <c r="G17" s="3" t="s">
        <v>249</v>
      </c>
      <c r="H17" s="4" t="s">
        <v>186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 t="s">
        <v>187</v>
      </c>
      <c r="W17" s="5"/>
      <c r="X17" s="5"/>
      <c r="Y17" s="5"/>
      <c r="Z17" s="5" t="s">
        <v>101</v>
      </c>
      <c r="AA17" s="5" t="s">
        <v>101</v>
      </c>
      <c r="AB17" s="5"/>
      <c r="AC17" s="5"/>
      <c r="AD17" s="5"/>
      <c r="AE17" s="5"/>
      <c r="AF17" s="5" t="s">
        <v>101</v>
      </c>
      <c r="AG17" s="5" t="s">
        <v>101</v>
      </c>
      <c r="AH17" s="5" t="s">
        <v>101</v>
      </c>
      <c r="AI17" s="5" t="s">
        <v>101</v>
      </c>
      <c r="AJ17" s="5" t="s">
        <v>101</v>
      </c>
      <c r="AK17" s="5" t="s">
        <v>101</v>
      </c>
      <c r="AL17" s="5" t="s">
        <v>101</v>
      </c>
      <c r="AM17" s="5" t="s">
        <v>101</v>
      </c>
      <c r="AN17" s="5"/>
      <c r="AO17" s="5" t="s">
        <v>188</v>
      </c>
      <c r="AP17" s="5" t="s">
        <v>101</v>
      </c>
      <c r="AQ17" s="5"/>
      <c r="AR17" s="5"/>
      <c r="AS17" s="5"/>
      <c r="AT17" s="5" t="s">
        <v>101</v>
      </c>
      <c r="AU17" s="5"/>
      <c r="AV17" s="5" t="s">
        <v>101</v>
      </c>
      <c r="AW17" s="5"/>
      <c r="AX17" s="5"/>
      <c r="AY17" s="5"/>
      <c r="AZ17" s="6" t="str">
        <f t="shared" si="0"/>
        <v>Missing</v>
      </c>
      <c r="BA17" s="7" t="str">
        <f t="shared" ca="1" si="1"/>
        <v>Missing</v>
      </c>
      <c r="BB17" s="7" t="str">
        <f t="shared" si="2"/>
        <v>Missing</v>
      </c>
      <c r="BC17" s="7" t="str">
        <f t="shared" si="3"/>
        <v>OK</v>
      </c>
      <c r="BD17" s="7" t="str">
        <f t="shared" si="4"/>
        <v>Clear</v>
      </c>
      <c r="BE17" s="7" t="str">
        <f t="shared" ca="1" si="5"/>
        <v/>
      </c>
      <c r="BF17" s="7" t="str">
        <f t="shared" ca="1" si="6"/>
        <v/>
      </c>
    </row>
    <row r="18" spans="1:58" x14ac:dyDescent="0.2">
      <c r="A18" s="3" t="s">
        <v>250</v>
      </c>
      <c r="B18" s="3">
        <v>3</v>
      </c>
      <c r="C18" s="3" t="s">
        <v>238</v>
      </c>
      <c r="D18" s="3">
        <v>2936</v>
      </c>
      <c r="E18" s="3" t="s">
        <v>251</v>
      </c>
      <c r="F18" s="3" t="s">
        <v>252</v>
      </c>
      <c r="G18" s="3" t="s">
        <v>253</v>
      </c>
      <c r="H18" s="4" t="s">
        <v>186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 t="s">
        <v>187</v>
      </c>
      <c r="W18" s="5"/>
      <c r="X18" s="5"/>
      <c r="Y18" s="5"/>
      <c r="Z18" s="5" t="s">
        <v>101</v>
      </c>
      <c r="AA18" s="5" t="s">
        <v>101</v>
      </c>
      <c r="AB18" s="5"/>
      <c r="AC18" s="5"/>
      <c r="AD18" s="5"/>
      <c r="AE18" s="5"/>
      <c r="AF18" s="5" t="s">
        <v>101</v>
      </c>
      <c r="AG18" s="5" t="s">
        <v>101</v>
      </c>
      <c r="AH18" s="5" t="s">
        <v>101</v>
      </c>
      <c r="AI18" s="5" t="s">
        <v>101</v>
      </c>
      <c r="AJ18" s="5" t="s">
        <v>101</v>
      </c>
      <c r="AK18" s="5" t="s">
        <v>101</v>
      </c>
      <c r="AL18" s="5" t="s">
        <v>101</v>
      </c>
      <c r="AM18" s="5" t="s">
        <v>101</v>
      </c>
      <c r="AN18" s="5"/>
      <c r="AO18" s="5" t="s">
        <v>188</v>
      </c>
      <c r="AP18" s="5" t="s">
        <v>101</v>
      </c>
      <c r="AQ18" s="5"/>
      <c r="AR18" s="5"/>
      <c r="AS18" s="5"/>
      <c r="AT18" s="5" t="s">
        <v>101</v>
      </c>
      <c r="AU18" s="5"/>
      <c r="AV18" s="5" t="s">
        <v>101</v>
      </c>
      <c r="AW18" s="5"/>
      <c r="AX18" s="5"/>
      <c r="AY18" s="5"/>
      <c r="AZ18" s="6" t="str">
        <f t="shared" si="0"/>
        <v>Missing</v>
      </c>
      <c r="BA18" s="7" t="str">
        <f t="shared" ca="1" si="1"/>
        <v>Missing</v>
      </c>
      <c r="BB18" s="7" t="str">
        <f t="shared" si="2"/>
        <v>Missing</v>
      </c>
      <c r="BC18" s="7" t="str">
        <f t="shared" si="3"/>
        <v>OK</v>
      </c>
      <c r="BD18" s="7" t="str">
        <f t="shared" si="4"/>
        <v>Clear</v>
      </c>
      <c r="BE18" s="7" t="str">
        <f t="shared" ca="1" si="5"/>
        <v/>
      </c>
      <c r="BF18" s="7" t="str">
        <f t="shared" ca="1" si="6"/>
        <v/>
      </c>
    </row>
    <row r="19" spans="1:58" x14ac:dyDescent="0.2">
      <c r="A19" s="3" t="s">
        <v>254</v>
      </c>
      <c r="B19" s="3">
        <v>3</v>
      </c>
      <c r="C19" s="3" t="s">
        <v>238</v>
      </c>
      <c r="D19" s="3">
        <v>2938</v>
      </c>
      <c r="E19" s="3" t="s">
        <v>255</v>
      </c>
      <c r="F19" s="3" t="s">
        <v>256</v>
      </c>
      <c r="G19" s="3" t="s">
        <v>257</v>
      </c>
      <c r="H19" s="4" t="s">
        <v>186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 t="s">
        <v>187</v>
      </c>
      <c r="W19" s="5"/>
      <c r="X19" s="5"/>
      <c r="Y19" s="5"/>
      <c r="Z19" s="5" t="s">
        <v>101</v>
      </c>
      <c r="AA19" s="5" t="s">
        <v>101</v>
      </c>
      <c r="AB19" s="5"/>
      <c r="AC19" s="5"/>
      <c r="AD19" s="5"/>
      <c r="AE19" s="5"/>
      <c r="AF19" s="5" t="s">
        <v>101</v>
      </c>
      <c r="AG19" s="5" t="s">
        <v>101</v>
      </c>
      <c r="AH19" s="5" t="s">
        <v>101</v>
      </c>
      <c r="AI19" s="5" t="s">
        <v>101</v>
      </c>
      <c r="AJ19" s="5" t="s">
        <v>101</v>
      </c>
      <c r="AK19" s="5" t="s">
        <v>101</v>
      </c>
      <c r="AL19" s="5" t="s">
        <v>101</v>
      </c>
      <c r="AM19" s="5" t="s">
        <v>101</v>
      </c>
      <c r="AN19" s="5"/>
      <c r="AO19" s="5" t="s">
        <v>188</v>
      </c>
      <c r="AP19" s="5" t="s">
        <v>101</v>
      </c>
      <c r="AQ19" s="5"/>
      <c r="AR19" s="5"/>
      <c r="AS19" s="5"/>
      <c r="AT19" s="5" t="s">
        <v>101</v>
      </c>
      <c r="AU19" s="5"/>
      <c r="AV19" s="5" t="s">
        <v>101</v>
      </c>
      <c r="AW19" s="5"/>
      <c r="AX19" s="5"/>
      <c r="AY19" s="5"/>
      <c r="AZ19" s="6" t="str">
        <f t="shared" si="0"/>
        <v>Missing</v>
      </c>
      <c r="BA19" s="7" t="str">
        <f t="shared" ca="1" si="1"/>
        <v>Missing</v>
      </c>
      <c r="BB19" s="7" t="str">
        <f t="shared" si="2"/>
        <v>Missing</v>
      </c>
      <c r="BC19" s="7" t="str">
        <f t="shared" si="3"/>
        <v>OK</v>
      </c>
      <c r="BD19" s="7" t="str">
        <f t="shared" si="4"/>
        <v>Clear</v>
      </c>
      <c r="BE19" s="7" t="str">
        <f t="shared" ca="1" si="5"/>
        <v/>
      </c>
      <c r="BF19" s="7" t="str">
        <f t="shared" ca="1" si="6"/>
        <v/>
      </c>
    </row>
    <row r="20" spans="1:58" x14ac:dyDescent="0.2">
      <c r="A20" s="3" t="s">
        <v>258</v>
      </c>
      <c r="B20" s="3">
        <v>3</v>
      </c>
      <c r="C20" s="3" t="s">
        <v>238</v>
      </c>
      <c r="D20" s="3">
        <v>2940</v>
      </c>
      <c r="E20" s="3" t="s">
        <v>259</v>
      </c>
      <c r="F20" s="3" t="s">
        <v>260</v>
      </c>
      <c r="G20" s="3" t="s">
        <v>261</v>
      </c>
      <c r="H20" s="4" t="s">
        <v>186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 t="s">
        <v>187</v>
      </c>
      <c r="W20" s="5"/>
      <c r="X20" s="5"/>
      <c r="Y20" s="5"/>
      <c r="Z20" s="5" t="s">
        <v>101</v>
      </c>
      <c r="AA20" s="5" t="s">
        <v>101</v>
      </c>
      <c r="AB20" s="5"/>
      <c r="AC20" s="5"/>
      <c r="AD20" s="5"/>
      <c r="AE20" s="5"/>
      <c r="AF20" s="5" t="s">
        <v>101</v>
      </c>
      <c r="AG20" s="5" t="s">
        <v>101</v>
      </c>
      <c r="AH20" s="5" t="s">
        <v>101</v>
      </c>
      <c r="AI20" s="5" t="s">
        <v>101</v>
      </c>
      <c r="AJ20" s="5" t="s">
        <v>101</v>
      </c>
      <c r="AK20" s="5" t="s">
        <v>101</v>
      </c>
      <c r="AL20" s="5" t="s">
        <v>101</v>
      </c>
      <c r="AM20" s="5" t="s">
        <v>101</v>
      </c>
      <c r="AN20" s="5"/>
      <c r="AO20" s="5" t="s">
        <v>188</v>
      </c>
      <c r="AP20" s="5" t="s">
        <v>101</v>
      </c>
      <c r="AQ20" s="5"/>
      <c r="AR20" s="5"/>
      <c r="AS20" s="5"/>
      <c r="AT20" s="5" t="s">
        <v>101</v>
      </c>
      <c r="AU20" s="5"/>
      <c r="AV20" s="5" t="s">
        <v>101</v>
      </c>
      <c r="AW20" s="5"/>
      <c r="AX20" s="5"/>
      <c r="AY20" s="5"/>
      <c r="AZ20" s="6" t="str">
        <f t="shared" si="0"/>
        <v>Missing</v>
      </c>
      <c r="BA20" s="7" t="str">
        <f t="shared" ca="1" si="1"/>
        <v>Missing</v>
      </c>
      <c r="BB20" s="7" t="str">
        <f t="shared" si="2"/>
        <v>Missing</v>
      </c>
      <c r="BC20" s="7" t="str">
        <f t="shared" si="3"/>
        <v>OK</v>
      </c>
      <c r="BD20" s="7" t="str">
        <f t="shared" si="4"/>
        <v>Clear</v>
      </c>
      <c r="BE20" s="7" t="str">
        <f t="shared" ca="1" si="5"/>
        <v/>
      </c>
      <c r="BF20" s="7" t="str">
        <f t="shared" ca="1" si="6"/>
        <v/>
      </c>
    </row>
    <row r="21" spans="1:58" x14ac:dyDescent="0.2">
      <c r="A21" s="3" t="s">
        <v>262</v>
      </c>
      <c r="B21" s="3">
        <v>4</v>
      </c>
      <c r="C21" s="3" t="s">
        <v>238</v>
      </c>
      <c r="D21" s="3">
        <v>2716</v>
      </c>
      <c r="E21" s="3" t="s">
        <v>263</v>
      </c>
      <c r="F21" s="3" t="s">
        <v>264</v>
      </c>
      <c r="G21" s="3" t="s">
        <v>265</v>
      </c>
      <c r="H21" s="4" t="s">
        <v>186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 t="s">
        <v>187</v>
      </c>
      <c r="W21" s="5"/>
      <c r="X21" s="5"/>
      <c r="Y21" s="5"/>
      <c r="Z21" s="5" t="s">
        <v>101</v>
      </c>
      <c r="AA21" s="5" t="s">
        <v>101</v>
      </c>
      <c r="AB21" s="5"/>
      <c r="AC21" s="5"/>
      <c r="AD21" s="5"/>
      <c r="AE21" s="5"/>
      <c r="AF21" s="5" t="s">
        <v>101</v>
      </c>
      <c r="AG21" s="5" t="s">
        <v>101</v>
      </c>
      <c r="AH21" s="5" t="s">
        <v>101</v>
      </c>
      <c r="AI21" s="5" t="s">
        <v>101</v>
      </c>
      <c r="AJ21" s="5" t="s">
        <v>101</v>
      </c>
      <c r="AK21" s="5" t="s">
        <v>101</v>
      </c>
      <c r="AL21" s="5" t="s">
        <v>101</v>
      </c>
      <c r="AM21" s="5" t="s">
        <v>101</v>
      </c>
      <c r="AN21" s="5"/>
      <c r="AO21" s="5" t="s">
        <v>188</v>
      </c>
      <c r="AP21" s="5" t="s">
        <v>101</v>
      </c>
      <c r="AQ21" s="5"/>
      <c r="AR21" s="5"/>
      <c r="AS21" s="5"/>
      <c r="AT21" s="5" t="s">
        <v>101</v>
      </c>
      <c r="AU21" s="5"/>
      <c r="AV21" s="5" t="s">
        <v>101</v>
      </c>
      <c r="AW21" s="5"/>
      <c r="AX21" s="5"/>
      <c r="AY21" s="5"/>
      <c r="AZ21" s="6" t="str">
        <f t="shared" si="0"/>
        <v>Missing</v>
      </c>
      <c r="BA21" s="7" t="str">
        <f t="shared" ca="1" si="1"/>
        <v>Missing</v>
      </c>
      <c r="BB21" s="7" t="str">
        <f t="shared" si="2"/>
        <v>Missing</v>
      </c>
      <c r="BC21" s="7" t="str">
        <f t="shared" si="3"/>
        <v>OK</v>
      </c>
      <c r="BD21" s="7" t="str">
        <f t="shared" si="4"/>
        <v>Clear</v>
      </c>
      <c r="BE21" s="7" t="str">
        <f t="shared" ca="1" si="5"/>
        <v/>
      </c>
      <c r="BF21" s="7" t="str">
        <f t="shared" ca="1" si="6"/>
        <v/>
      </c>
    </row>
    <row r="22" spans="1:58" x14ac:dyDescent="0.2">
      <c r="A22" s="3" t="s">
        <v>266</v>
      </c>
      <c r="B22" s="3">
        <v>4</v>
      </c>
      <c r="C22" s="3" t="s">
        <v>238</v>
      </c>
      <c r="D22" s="3">
        <v>2718</v>
      </c>
      <c r="E22" s="3" t="s">
        <v>267</v>
      </c>
      <c r="F22" s="3" t="s">
        <v>268</v>
      </c>
      <c r="G22" s="3" t="s">
        <v>269</v>
      </c>
      <c r="H22" s="4" t="s">
        <v>186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 t="s">
        <v>187</v>
      </c>
      <c r="W22" s="5"/>
      <c r="X22" s="5"/>
      <c r="Y22" s="5"/>
      <c r="Z22" s="5" t="s">
        <v>101</v>
      </c>
      <c r="AA22" s="5" t="s">
        <v>101</v>
      </c>
      <c r="AB22" s="5"/>
      <c r="AC22" s="5"/>
      <c r="AD22" s="5"/>
      <c r="AE22" s="5"/>
      <c r="AF22" s="5" t="s">
        <v>101</v>
      </c>
      <c r="AG22" s="5" t="s">
        <v>101</v>
      </c>
      <c r="AH22" s="5" t="s">
        <v>101</v>
      </c>
      <c r="AI22" s="5" t="s">
        <v>101</v>
      </c>
      <c r="AJ22" s="5" t="s">
        <v>101</v>
      </c>
      <c r="AK22" s="5" t="s">
        <v>101</v>
      </c>
      <c r="AL22" s="5" t="s">
        <v>101</v>
      </c>
      <c r="AM22" s="5" t="s">
        <v>101</v>
      </c>
      <c r="AN22" s="5"/>
      <c r="AO22" s="5" t="s">
        <v>188</v>
      </c>
      <c r="AP22" s="5" t="s">
        <v>101</v>
      </c>
      <c r="AQ22" s="5"/>
      <c r="AR22" s="5"/>
      <c r="AS22" s="5"/>
      <c r="AT22" s="5" t="s">
        <v>101</v>
      </c>
      <c r="AU22" s="5"/>
      <c r="AV22" s="5" t="s">
        <v>101</v>
      </c>
      <c r="AW22" s="5"/>
      <c r="AX22" s="5"/>
      <c r="AY22" s="5"/>
      <c r="AZ22" s="6" t="str">
        <f t="shared" si="0"/>
        <v>Missing</v>
      </c>
      <c r="BA22" s="7" t="str">
        <f t="shared" ca="1" si="1"/>
        <v>Missing</v>
      </c>
      <c r="BB22" s="7" t="str">
        <f t="shared" si="2"/>
        <v>Missing</v>
      </c>
      <c r="BC22" s="7" t="str">
        <f t="shared" si="3"/>
        <v>OK</v>
      </c>
      <c r="BD22" s="7" t="str">
        <f t="shared" si="4"/>
        <v>Clear</v>
      </c>
      <c r="BE22" s="7" t="str">
        <f t="shared" ca="1" si="5"/>
        <v/>
      </c>
      <c r="BF22" s="7" t="str">
        <f t="shared" ca="1" si="6"/>
        <v/>
      </c>
    </row>
    <row r="23" spans="1:58" x14ac:dyDescent="0.2">
      <c r="A23" s="3" t="s">
        <v>270</v>
      </c>
      <c r="B23" s="3">
        <v>4</v>
      </c>
      <c r="C23" s="3" t="s">
        <v>238</v>
      </c>
      <c r="D23" s="3">
        <v>2720</v>
      </c>
      <c r="E23" s="3" t="s">
        <v>271</v>
      </c>
      <c r="F23" s="3" t="s">
        <v>272</v>
      </c>
      <c r="G23" s="3" t="s">
        <v>273</v>
      </c>
      <c r="H23" s="4" t="s">
        <v>186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 t="s">
        <v>187</v>
      </c>
      <c r="W23" s="5"/>
      <c r="X23" s="5"/>
      <c r="Y23" s="5"/>
      <c r="Z23" s="5" t="s">
        <v>101</v>
      </c>
      <c r="AA23" s="5" t="s">
        <v>101</v>
      </c>
      <c r="AB23" s="5"/>
      <c r="AC23" s="5"/>
      <c r="AD23" s="5"/>
      <c r="AE23" s="5"/>
      <c r="AF23" s="5" t="s">
        <v>101</v>
      </c>
      <c r="AG23" s="5" t="s">
        <v>101</v>
      </c>
      <c r="AH23" s="5" t="s">
        <v>101</v>
      </c>
      <c r="AI23" s="5" t="s">
        <v>101</v>
      </c>
      <c r="AJ23" s="5" t="s">
        <v>101</v>
      </c>
      <c r="AK23" s="5" t="s">
        <v>101</v>
      </c>
      <c r="AL23" s="5" t="s">
        <v>101</v>
      </c>
      <c r="AM23" s="5" t="s">
        <v>101</v>
      </c>
      <c r="AN23" s="5"/>
      <c r="AO23" s="5" t="s">
        <v>188</v>
      </c>
      <c r="AP23" s="5" t="s">
        <v>101</v>
      </c>
      <c r="AQ23" s="5"/>
      <c r="AR23" s="5"/>
      <c r="AS23" s="5"/>
      <c r="AT23" s="5" t="s">
        <v>101</v>
      </c>
      <c r="AU23" s="5"/>
      <c r="AV23" s="5" t="s">
        <v>101</v>
      </c>
      <c r="AW23" s="5"/>
      <c r="AX23" s="5"/>
      <c r="AY23" s="5"/>
      <c r="AZ23" s="6" t="str">
        <f t="shared" si="0"/>
        <v>Missing</v>
      </c>
      <c r="BA23" s="7" t="str">
        <f t="shared" ca="1" si="1"/>
        <v>Missing</v>
      </c>
      <c r="BB23" s="7" t="str">
        <f t="shared" si="2"/>
        <v>Missing</v>
      </c>
      <c r="BC23" s="7" t="str">
        <f t="shared" si="3"/>
        <v>OK</v>
      </c>
      <c r="BD23" s="7" t="str">
        <f t="shared" si="4"/>
        <v>Clear</v>
      </c>
      <c r="BE23" s="7" t="str">
        <f t="shared" ca="1" si="5"/>
        <v/>
      </c>
      <c r="BF23" s="7" t="str">
        <f t="shared" ca="1" si="6"/>
        <v/>
      </c>
    </row>
    <row r="24" spans="1:58" x14ac:dyDescent="0.2">
      <c r="A24" s="3" t="s">
        <v>274</v>
      </c>
      <c r="B24" s="3">
        <v>4</v>
      </c>
      <c r="C24" s="3" t="s">
        <v>238</v>
      </c>
      <c r="D24" s="3">
        <v>2722</v>
      </c>
      <c r="E24" s="3" t="s">
        <v>275</v>
      </c>
      <c r="F24" s="3" t="s">
        <v>276</v>
      </c>
      <c r="G24" s="3" t="s">
        <v>277</v>
      </c>
      <c r="H24" s="4" t="s">
        <v>186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 t="s">
        <v>187</v>
      </c>
      <c r="W24" s="5"/>
      <c r="X24" s="5"/>
      <c r="Y24" s="5"/>
      <c r="Z24" s="5" t="s">
        <v>101</v>
      </c>
      <c r="AA24" s="5" t="s">
        <v>101</v>
      </c>
      <c r="AB24" s="5"/>
      <c r="AC24" s="5"/>
      <c r="AD24" s="5"/>
      <c r="AE24" s="5"/>
      <c r="AF24" s="5" t="s">
        <v>101</v>
      </c>
      <c r="AG24" s="5" t="s">
        <v>101</v>
      </c>
      <c r="AH24" s="5" t="s">
        <v>101</v>
      </c>
      <c r="AI24" s="5" t="s">
        <v>101</v>
      </c>
      <c r="AJ24" s="5" t="s">
        <v>101</v>
      </c>
      <c r="AK24" s="5" t="s">
        <v>101</v>
      </c>
      <c r="AL24" s="5" t="s">
        <v>101</v>
      </c>
      <c r="AM24" s="5" t="s">
        <v>101</v>
      </c>
      <c r="AN24" s="5"/>
      <c r="AO24" s="5" t="s">
        <v>188</v>
      </c>
      <c r="AP24" s="5" t="s">
        <v>101</v>
      </c>
      <c r="AQ24" s="5"/>
      <c r="AR24" s="5"/>
      <c r="AS24" s="5"/>
      <c r="AT24" s="5" t="s">
        <v>101</v>
      </c>
      <c r="AU24" s="5"/>
      <c r="AV24" s="5" t="s">
        <v>101</v>
      </c>
      <c r="AW24" s="5"/>
      <c r="AX24" s="5"/>
      <c r="AY24" s="5"/>
      <c r="AZ24" s="6" t="str">
        <f t="shared" si="0"/>
        <v>Missing</v>
      </c>
      <c r="BA24" s="7" t="str">
        <f t="shared" ca="1" si="1"/>
        <v>Missing</v>
      </c>
      <c r="BB24" s="7" t="str">
        <f t="shared" si="2"/>
        <v>Missing</v>
      </c>
      <c r="BC24" s="7" t="str">
        <f t="shared" si="3"/>
        <v>OK</v>
      </c>
      <c r="BD24" s="7" t="str">
        <f t="shared" si="4"/>
        <v>Clear</v>
      </c>
      <c r="BE24" s="7" t="str">
        <f t="shared" ca="1" si="5"/>
        <v/>
      </c>
      <c r="BF24" s="7" t="str">
        <f t="shared" ca="1" si="6"/>
        <v/>
      </c>
    </row>
    <row r="25" spans="1:58" x14ac:dyDescent="0.2">
      <c r="A25" s="3" t="s">
        <v>278</v>
      </c>
      <c r="B25" s="3">
        <v>4</v>
      </c>
      <c r="C25" s="3" t="s">
        <v>238</v>
      </c>
      <c r="D25" s="3">
        <v>2724</v>
      </c>
      <c r="E25" s="3" t="s">
        <v>279</v>
      </c>
      <c r="F25" s="3" t="s">
        <v>280</v>
      </c>
      <c r="G25" s="3" t="s">
        <v>281</v>
      </c>
      <c r="H25" s="4" t="s">
        <v>186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 t="s">
        <v>187</v>
      </c>
      <c r="W25" s="5"/>
      <c r="X25" s="5"/>
      <c r="Y25" s="5"/>
      <c r="Z25" s="5" t="s">
        <v>101</v>
      </c>
      <c r="AA25" s="5" t="s">
        <v>101</v>
      </c>
      <c r="AB25" s="5"/>
      <c r="AC25" s="5"/>
      <c r="AD25" s="5"/>
      <c r="AE25" s="5"/>
      <c r="AF25" s="5" t="s">
        <v>101</v>
      </c>
      <c r="AG25" s="5" t="s">
        <v>101</v>
      </c>
      <c r="AH25" s="5" t="s">
        <v>101</v>
      </c>
      <c r="AI25" s="5" t="s">
        <v>101</v>
      </c>
      <c r="AJ25" s="5" t="s">
        <v>101</v>
      </c>
      <c r="AK25" s="5" t="s">
        <v>101</v>
      </c>
      <c r="AL25" s="5" t="s">
        <v>101</v>
      </c>
      <c r="AM25" s="5" t="s">
        <v>101</v>
      </c>
      <c r="AN25" s="5"/>
      <c r="AO25" s="5" t="s">
        <v>188</v>
      </c>
      <c r="AP25" s="5" t="s">
        <v>101</v>
      </c>
      <c r="AQ25" s="5"/>
      <c r="AR25" s="5"/>
      <c r="AS25" s="5"/>
      <c r="AT25" s="5" t="s">
        <v>101</v>
      </c>
      <c r="AU25" s="5"/>
      <c r="AV25" s="5" t="s">
        <v>101</v>
      </c>
      <c r="AW25" s="5"/>
      <c r="AX25" s="5"/>
      <c r="AY25" s="5"/>
      <c r="AZ25" s="6" t="str">
        <f t="shared" si="0"/>
        <v>Missing</v>
      </c>
      <c r="BA25" s="7" t="str">
        <f t="shared" ca="1" si="1"/>
        <v>Missing</v>
      </c>
      <c r="BB25" s="7" t="str">
        <f t="shared" si="2"/>
        <v>Missing</v>
      </c>
      <c r="BC25" s="7" t="str">
        <f t="shared" si="3"/>
        <v>OK</v>
      </c>
      <c r="BD25" s="7" t="str">
        <f t="shared" si="4"/>
        <v>Clear</v>
      </c>
      <c r="BE25" s="7" t="str">
        <f t="shared" ca="1" si="5"/>
        <v/>
      </c>
      <c r="BF25" s="7" t="str">
        <f t="shared" ca="1" si="6"/>
        <v/>
      </c>
    </row>
    <row r="26" spans="1:58" x14ac:dyDescent="0.2">
      <c r="A26" s="3" t="s">
        <v>282</v>
      </c>
      <c r="B26" s="3">
        <v>4</v>
      </c>
      <c r="C26" s="3" t="s">
        <v>238</v>
      </c>
      <c r="D26" s="3">
        <v>2726</v>
      </c>
      <c r="E26" s="3" t="s">
        <v>283</v>
      </c>
      <c r="F26" s="3" t="s">
        <v>284</v>
      </c>
      <c r="G26" s="3" t="s">
        <v>285</v>
      </c>
      <c r="H26" s="4" t="s">
        <v>186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 t="s">
        <v>187</v>
      </c>
      <c r="W26" s="5"/>
      <c r="X26" s="5"/>
      <c r="Y26" s="5"/>
      <c r="Z26" s="5" t="s">
        <v>101</v>
      </c>
      <c r="AA26" s="5" t="s">
        <v>101</v>
      </c>
      <c r="AB26" s="5"/>
      <c r="AC26" s="5"/>
      <c r="AD26" s="5"/>
      <c r="AE26" s="5"/>
      <c r="AF26" s="5" t="s">
        <v>101</v>
      </c>
      <c r="AG26" s="5" t="s">
        <v>101</v>
      </c>
      <c r="AH26" s="5" t="s">
        <v>101</v>
      </c>
      <c r="AI26" s="5" t="s">
        <v>101</v>
      </c>
      <c r="AJ26" s="5" t="s">
        <v>101</v>
      </c>
      <c r="AK26" s="5" t="s">
        <v>101</v>
      </c>
      <c r="AL26" s="5" t="s">
        <v>101</v>
      </c>
      <c r="AM26" s="5" t="s">
        <v>101</v>
      </c>
      <c r="AN26" s="5"/>
      <c r="AO26" s="5" t="s">
        <v>188</v>
      </c>
      <c r="AP26" s="5" t="s">
        <v>101</v>
      </c>
      <c r="AQ26" s="5"/>
      <c r="AR26" s="5"/>
      <c r="AS26" s="5"/>
      <c r="AT26" s="5" t="s">
        <v>101</v>
      </c>
      <c r="AU26" s="5"/>
      <c r="AV26" s="5" t="s">
        <v>101</v>
      </c>
      <c r="AW26" s="5"/>
      <c r="AX26" s="5"/>
      <c r="AY26" s="5"/>
      <c r="AZ26" s="6" t="str">
        <f t="shared" si="0"/>
        <v>Missing</v>
      </c>
      <c r="BA26" s="7" t="str">
        <f t="shared" ca="1" si="1"/>
        <v>Missing</v>
      </c>
      <c r="BB26" s="7" t="str">
        <f t="shared" si="2"/>
        <v>Missing</v>
      </c>
      <c r="BC26" s="7" t="str">
        <f t="shared" si="3"/>
        <v>OK</v>
      </c>
      <c r="BD26" s="7" t="str">
        <f t="shared" si="4"/>
        <v>Clear</v>
      </c>
      <c r="BE26" s="7" t="str">
        <f t="shared" ca="1" si="5"/>
        <v/>
      </c>
      <c r="BF26" s="7" t="str">
        <f t="shared" ca="1" si="6"/>
        <v/>
      </c>
    </row>
    <row r="27" spans="1:58" x14ac:dyDescent="0.2">
      <c r="A27" s="3" t="s">
        <v>286</v>
      </c>
      <c r="B27" s="3">
        <v>5</v>
      </c>
      <c r="C27" s="3" t="s">
        <v>238</v>
      </c>
      <c r="D27" s="3">
        <v>2902</v>
      </c>
      <c r="E27" s="3" t="s">
        <v>287</v>
      </c>
      <c r="F27" s="3" t="s">
        <v>288</v>
      </c>
      <c r="G27" s="3" t="s">
        <v>289</v>
      </c>
      <c r="H27" s="4" t="s">
        <v>186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 t="s">
        <v>187</v>
      </c>
      <c r="W27" s="5"/>
      <c r="X27" s="5"/>
      <c r="Y27" s="5"/>
      <c r="Z27" s="5" t="s">
        <v>101</v>
      </c>
      <c r="AA27" s="5" t="s">
        <v>101</v>
      </c>
      <c r="AB27" s="5"/>
      <c r="AC27" s="5"/>
      <c r="AD27" s="5"/>
      <c r="AE27" s="5"/>
      <c r="AF27" s="5" t="s">
        <v>101</v>
      </c>
      <c r="AG27" s="5" t="s">
        <v>101</v>
      </c>
      <c r="AH27" s="5" t="s">
        <v>101</v>
      </c>
      <c r="AI27" s="5" t="s">
        <v>101</v>
      </c>
      <c r="AJ27" s="5" t="s">
        <v>101</v>
      </c>
      <c r="AK27" s="5" t="s">
        <v>101</v>
      </c>
      <c r="AL27" s="5" t="s">
        <v>101</v>
      </c>
      <c r="AM27" s="5" t="s">
        <v>101</v>
      </c>
      <c r="AN27" s="5"/>
      <c r="AO27" s="5" t="s">
        <v>188</v>
      </c>
      <c r="AP27" s="5" t="s">
        <v>101</v>
      </c>
      <c r="AQ27" s="5"/>
      <c r="AR27" s="5"/>
      <c r="AS27" s="5"/>
      <c r="AT27" s="5" t="s">
        <v>101</v>
      </c>
      <c r="AU27" s="5"/>
      <c r="AV27" s="5" t="s">
        <v>101</v>
      </c>
      <c r="AW27" s="5"/>
      <c r="AX27" s="5"/>
      <c r="AY27" s="5"/>
      <c r="AZ27" s="6" t="str">
        <f t="shared" si="0"/>
        <v>Missing</v>
      </c>
      <c r="BA27" s="7" t="str">
        <f t="shared" ca="1" si="1"/>
        <v>Missing</v>
      </c>
      <c r="BB27" s="7" t="str">
        <f t="shared" si="2"/>
        <v>Missing</v>
      </c>
      <c r="BC27" s="7" t="str">
        <f t="shared" si="3"/>
        <v>OK</v>
      </c>
      <c r="BD27" s="7" t="str">
        <f t="shared" si="4"/>
        <v>Clear</v>
      </c>
      <c r="BE27" s="7" t="str">
        <f t="shared" ca="1" si="5"/>
        <v/>
      </c>
      <c r="BF27" s="7" t="str">
        <f t="shared" ca="1" si="6"/>
        <v/>
      </c>
    </row>
    <row r="28" spans="1:58" x14ac:dyDescent="0.2">
      <c r="A28" s="3" t="s">
        <v>290</v>
      </c>
      <c r="B28" s="3">
        <v>5</v>
      </c>
      <c r="C28" s="3" t="s">
        <v>238</v>
      </c>
      <c r="D28" s="3">
        <v>2904</v>
      </c>
      <c r="E28" s="3" t="s">
        <v>291</v>
      </c>
      <c r="F28" s="3" t="s">
        <v>292</v>
      </c>
      <c r="G28" s="3" t="s">
        <v>293</v>
      </c>
      <c r="H28" s="4" t="s">
        <v>186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 t="s">
        <v>187</v>
      </c>
      <c r="W28" s="5"/>
      <c r="X28" s="5"/>
      <c r="Y28" s="5"/>
      <c r="Z28" s="5" t="s">
        <v>101</v>
      </c>
      <c r="AA28" s="5" t="s">
        <v>101</v>
      </c>
      <c r="AB28" s="5"/>
      <c r="AC28" s="5"/>
      <c r="AD28" s="5"/>
      <c r="AE28" s="5"/>
      <c r="AF28" s="5" t="s">
        <v>101</v>
      </c>
      <c r="AG28" s="5" t="s">
        <v>101</v>
      </c>
      <c r="AH28" s="5" t="s">
        <v>101</v>
      </c>
      <c r="AI28" s="5" t="s">
        <v>101</v>
      </c>
      <c r="AJ28" s="5" t="s">
        <v>101</v>
      </c>
      <c r="AK28" s="5" t="s">
        <v>101</v>
      </c>
      <c r="AL28" s="5" t="s">
        <v>101</v>
      </c>
      <c r="AM28" s="5" t="s">
        <v>101</v>
      </c>
      <c r="AN28" s="5"/>
      <c r="AO28" s="5" t="s">
        <v>188</v>
      </c>
      <c r="AP28" s="5" t="s">
        <v>101</v>
      </c>
      <c r="AQ28" s="5"/>
      <c r="AR28" s="5"/>
      <c r="AS28" s="5"/>
      <c r="AT28" s="5" t="s">
        <v>101</v>
      </c>
      <c r="AU28" s="5"/>
      <c r="AV28" s="5" t="s">
        <v>101</v>
      </c>
      <c r="AW28" s="5"/>
      <c r="AX28" s="5"/>
      <c r="AY28" s="5"/>
      <c r="AZ28" s="6" t="str">
        <f t="shared" si="0"/>
        <v>Missing</v>
      </c>
      <c r="BA28" s="7" t="str">
        <f t="shared" ca="1" si="1"/>
        <v>Missing</v>
      </c>
      <c r="BB28" s="7" t="str">
        <f t="shared" si="2"/>
        <v>Missing</v>
      </c>
      <c r="BC28" s="7" t="str">
        <f t="shared" si="3"/>
        <v>OK</v>
      </c>
      <c r="BD28" s="7" t="str">
        <f t="shared" si="4"/>
        <v>Clear</v>
      </c>
      <c r="BE28" s="7" t="str">
        <f t="shared" ca="1" si="5"/>
        <v/>
      </c>
      <c r="BF28" s="7" t="str">
        <f t="shared" ca="1" si="6"/>
        <v/>
      </c>
    </row>
    <row r="29" spans="1:58" x14ac:dyDescent="0.2">
      <c r="A29" s="3" t="s">
        <v>294</v>
      </c>
      <c r="B29" s="3">
        <v>5</v>
      </c>
      <c r="C29" s="3" t="s">
        <v>238</v>
      </c>
      <c r="D29" s="3">
        <v>2906</v>
      </c>
      <c r="E29" s="3" t="s">
        <v>295</v>
      </c>
      <c r="F29" s="3" t="s">
        <v>296</v>
      </c>
      <c r="G29" s="3" t="s">
        <v>297</v>
      </c>
      <c r="H29" s="4" t="s">
        <v>186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 t="s">
        <v>187</v>
      </c>
      <c r="W29" s="5"/>
      <c r="X29" s="5"/>
      <c r="Y29" s="5"/>
      <c r="Z29" s="5" t="s">
        <v>101</v>
      </c>
      <c r="AA29" s="5" t="s">
        <v>101</v>
      </c>
      <c r="AB29" s="5"/>
      <c r="AC29" s="5"/>
      <c r="AD29" s="5"/>
      <c r="AE29" s="5"/>
      <c r="AF29" s="5" t="s">
        <v>101</v>
      </c>
      <c r="AG29" s="5" t="s">
        <v>101</v>
      </c>
      <c r="AH29" s="5" t="s">
        <v>101</v>
      </c>
      <c r="AI29" s="5" t="s">
        <v>101</v>
      </c>
      <c r="AJ29" s="5" t="s">
        <v>101</v>
      </c>
      <c r="AK29" s="5" t="s">
        <v>101</v>
      </c>
      <c r="AL29" s="5" t="s">
        <v>101</v>
      </c>
      <c r="AM29" s="5" t="s">
        <v>101</v>
      </c>
      <c r="AN29" s="5"/>
      <c r="AO29" s="5" t="s">
        <v>188</v>
      </c>
      <c r="AP29" s="5" t="s">
        <v>101</v>
      </c>
      <c r="AQ29" s="5"/>
      <c r="AR29" s="5"/>
      <c r="AS29" s="5"/>
      <c r="AT29" s="5" t="s">
        <v>101</v>
      </c>
      <c r="AU29" s="5"/>
      <c r="AV29" s="5" t="s">
        <v>101</v>
      </c>
      <c r="AW29" s="5"/>
      <c r="AX29" s="5"/>
      <c r="AY29" s="5"/>
      <c r="AZ29" s="6" t="str">
        <f t="shared" si="0"/>
        <v>Missing</v>
      </c>
      <c r="BA29" s="7" t="str">
        <f t="shared" ca="1" si="1"/>
        <v>Missing</v>
      </c>
      <c r="BB29" s="7" t="str">
        <f t="shared" si="2"/>
        <v>Missing</v>
      </c>
      <c r="BC29" s="7" t="str">
        <f t="shared" si="3"/>
        <v>OK</v>
      </c>
      <c r="BD29" s="7" t="str">
        <f t="shared" si="4"/>
        <v>Clear</v>
      </c>
      <c r="BE29" s="7" t="str">
        <f t="shared" ca="1" si="5"/>
        <v/>
      </c>
      <c r="BF29" s="7" t="str">
        <f t="shared" ca="1" si="6"/>
        <v/>
      </c>
    </row>
    <row r="30" spans="1:58" x14ac:dyDescent="0.2">
      <c r="A30" s="3" t="s">
        <v>298</v>
      </c>
      <c r="B30" s="3">
        <v>5</v>
      </c>
      <c r="C30" s="3" t="s">
        <v>238</v>
      </c>
      <c r="D30" s="3">
        <v>2908</v>
      </c>
      <c r="E30" s="3" t="s">
        <v>299</v>
      </c>
      <c r="F30" s="3" t="s">
        <v>300</v>
      </c>
      <c r="G30" s="3" t="s">
        <v>301</v>
      </c>
      <c r="H30" s="4" t="s">
        <v>186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 t="s">
        <v>187</v>
      </c>
      <c r="W30" s="5"/>
      <c r="X30" s="5"/>
      <c r="Y30" s="5"/>
      <c r="Z30" s="5" t="s">
        <v>101</v>
      </c>
      <c r="AA30" s="5" t="s">
        <v>101</v>
      </c>
      <c r="AB30" s="5"/>
      <c r="AC30" s="5"/>
      <c r="AD30" s="5"/>
      <c r="AE30" s="5"/>
      <c r="AF30" s="5" t="s">
        <v>101</v>
      </c>
      <c r="AG30" s="5" t="s">
        <v>101</v>
      </c>
      <c r="AH30" s="5" t="s">
        <v>101</v>
      </c>
      <c r="AI30" s="5" t="s">
        <v>101</v>
      </c>
      <c r="AJ30" s="5" t="s">
        <v>101</v>
      </c>
      <c r="AK30" s="5" t="s">
        <v>101</v>
      </c>
      <c r="AL30" s="5" t="s">
        <v>101</v>
      </c>
      <c r="AM30" s="5" t="s">
        <v>101</v>
      </c>
      <c r="AN30" s="5"/>
      <c r="AO30" s="5" t="s">
        <v>188</v>
      </c>
      <c r="AP30" s="5" t="s">
        <v>101</v>
      </c>
      <c r="AQ30" s="5"/>
      <c r="AR30" s="5"/>
      <c r="AS30" s="5"/>
      <c r="AT30" s="5" t="s">
        <v>101</v>
      </c>
      <c r="AU30" s="5"/>
      <c r="AV30" s="5" t="s">
        <v>101</v>
      </c>
      <c r="AW30" s="5"/>
      <c r="AX30" s="5"/>
      <c r="AY30" s="5"/>
      <c r="AZ30" s="6" t="str">
        <f t="shared" si="0"/>
        <v>Missing</v>
      </c>
      <c r="BA30" s="7" t="str">
        <f t="shared" ca="1" si="1"/>
        <v>Missing</v>
      </c>
      <c r="BB30" s="7" t="str">
        <f t="shared" si="2"/>
        <v>Missing</v>
      </c>
      <c r="BC30" s="7" t="str">
        <f t="shared" si="3"/>
        <v>OK</v>
      </c>
      <c r="BD30" s="7" t="str">
        <f t="shared" si="4"/>
        <v>Clear</v>
      </c>
      <c r="BE30" s="7" t="str">
        <f t="shared" ca="1" si="5"/>
        <v/>
      </c>
      <c r="BF30" s="7" t="str">
        <f t="shared" ca="1" si="6"/>
        <v/>
      </c>
    </row>
    <row r="31" spans="1:58" x14ac:dyDescent="0.2">
      <c r="A31" s="3" t="s">
        <v>302</v>
      </c>
      <c r="B31" s="3">
        <v>5</v>
      </c>
      <c r="C31" s="3" t="s">
        <v>238</v>
      </c>
      <c r="D31" s="3">
        <v>2910</v>
      </c>
      <c r="E31" s="3" t="s">
        <v>303</v>
      </c>
      <c r="F31" s="3" t="s">
        <v>304</v>
      </c>
      <c r="G31" s="3" t="s">
        <v>305</v>
      </c>
      <c r="H31" s="4" t="s">
        <v>186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 t="s">
        <v>187</v>
      </c>
      <c r="W31" s="5"/>
      <c r="X31" s="5"/>
      <c r="Y31" s="5"/>
      <c r="Z31" s="5" t="s">
        <v>101</v>
      </c>
      <c r="AA31" s="5" t="s">
        <v>101</v>
      </c>
      <c r="AB31" s="5"/>
      <c r="AC31" s="5"/>
      <c r="AD31" s="5"/>
      <c r="AE31" s="5"/>
      <c r="AF31" s="5" t="s">
        <v>101</v>
      </c>
      <c r="AG31" s="5" t="s">
        <v>101</v>
      </c>
      <c r="AH31" s="5" t="s">
        <v>101</v>
      </c>
      <c r="AI31" s="5" t="s">
        <v>101</v>
      </c>
      <c r="AJ31" s="5" t="s">
        <v>101</v>
      </c>
      <c r="AK31" s="5" t="s">
        <v>101</v>
      </c>
      <c r="AL31" s="5" t="s">
        <v>101</v>
      </c>
      <c r="AM31" s="5" t="s">
        <v>101</v>
      </c>
      <c r="AN31" s="5"/>
      <c r="AO31" s="5" t="s">
        <v>188</v>
      </c>
      <c r="AP31" s="5" t="s">
        <v>101</v>
      </c>
      <c r="AQ31" s="5"/>
      <c r="AR31" s="5"/>
      <c r="AS31" s="5"/>
      <c r="AT31" s="5" t="s">
        <v>101</v>
      </c>
      <c r="AU31" s="5"/>
      <c r="AV31" s="5" t="s">
        <v>101</v>
      </c>
      <c r="AW31" s="5"/>
      <c r="AX31" s="5"/>
      <c r="AY31" s="5"/>
      <c r="AZ31" s="6" t="str">
        <f t="shared" si="0"/>
        <v>Missing</v>
      </c>
      <c r="BA31" s="7" t="str">
        <f t="shared" ca="1" si="1"/>
        <v>Missing</v>
      </c>
      <c r="BB31" s="7" t="str">
        <f t="shared" si="2"/>
        <v>Missing</v>
      </c>
      <c r="BC31" s="7" t="str">
        <f t="shared" si="3"/>
        <v>OK</v>
      </c>
      <c r="BD31" s="7" t="str">
        <f t="shared" si="4"/>
        <v>Clear</v>
      </c>
      <c r="BE31" s="7" t="str">
        <f t="shared" ca="1" si="5"/>
        <v/>
      </c>
      <c r="BF31" s="7" t="str">
        <f t="shared" ca="1" si="6"/>
        <v/>
      </c>
    </row>
    <row r="32" spans="1:58" x14ac:dyDescent="0.2">
      <c r="A32" s="3" t="s">
        <v>306</v>
      </c>
      <c r="B32" s="3">
        <v>6</v>
      </c>
      <c r="C32" s="3" t="s">
        <v>238</v>
      </c>
      <c r="D32" s="3">
        <v>2816</v>
      </c>
      <c r="E32" s="3" t="s">
        <v>307</v>
      </c>
      <c r="F32" s="3" t="s">
        <v>308</v>
      </c>
      <c r="G32" s="3" t="s">
        <v>309</v>
      </c>
      <c r="H32" s="4" t="s">
        <v>186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 t="s">
        <v>187</v>
      </c>
      <c r="W32" s="5"/>
      <c r="X32" s="5"/>
      <c r="Y32" s="5"/>
      <c r="Z32" s="5" t="s">
        <v>101</v>
      </c>
      <c r="AA32" s="5" t="s">
        <v>101</v>
      </c>
      <c r="AB32" s="5"/>
      <c r="AC32" s="5"/>
      <c r="AD32" s="5"/>
      <c r="AE32" s="5"/>
      <c r="AF32" s="5" t="s">
        <v>101</v>
      </c>
      <c r="AG32" s="5" t="s">
        <v>101</v>
      </c>
      <c r="AH32" s="5" t="s">
        <v>101</v>
      </c>
      <c r="AI32" s="5" t="s">
        <v>101</v>
      </c>
      <c r="AJ32" s="5" t="s">
        <v>101</v>
      </c>
      <c r="AK32" s="5" t="s">
        <v>101</v>
      </c>
      <c r="AL32" s="5" t="s">
        <v>101</v>
      </c>
      <c r="AM32" s="5" t="s">
        <v>101</v>
      </c>
      <c r="AN32" s="5"/>
      <c r="AO32" s="5" t="s">
        <v>188</v>
      </c>
      <c r="AP32" s="5" t="s">
        <v>101</v>
      </c>
      <c r="AQ32" s="5"/>
      <c r="AR32" s="5"/>
      <c r="AS32" s="5"/>
      <c r="AT32" s="5" t="s">
        <v>101</v>
      </c>
      <c r="AU32" s="5"/>
      <c r="AV32" s="5" t="s">
        <v>101</v>
      </c>
      <c r="AW32" s="5"/>
      <c r="AX32" s="5"/>
      <c r="AY32" s="5"/>
      <c r="AZ32" s="6" t="str">
        <f t="shared" si="0"/>
        <v>Missing</v>
      </c>
      <c r="BA32" s="7" t="str">
        <f t="shared" ca="1" si="1"/>
        <v>Missing</v>
      </c>
      <c r="BB32" s="7" t="str">
        <f t="shared" si="2"/>
        <v>Missing</v>
      </c>
      <c r="BC32" s="7" t="str">
        <f t="shared" si="3"/>
        <v>OK</v>
      </c>
      <c r="BD32" s="7" t="str">
        <f t="shared" si="4"/>
        <v>Clear</v>
      </c>
      <c r="BE32" s="7" t="str">
        <f t="shared" ca="1" si="5"/>
        <v/>
      </c>
      <c r="BF32" s="7" t="str">
        <f t="shared" ca="1" si="6"/>
        <v/>
      </c>
    </row>
    <row r="33" spans="1:58" x14ac:dyDescent="0.2">
      <c r="A33" s="3" t="s">
        <v>310</v>
      </c>
      <c r="B33" s="3">
        <v>6</v>
      </c>
      <c r="C33" s="3" t="s">
        <v>238</v>
      </c>
      <c r="D33" s="3">
        <v>2818</v>
      </c>
      <c r="E33" s="3" t="s">
        <v>311</v>
      </c>
      <c r="F33" s="3" t="s">
        <v>312</v>
      </c>
      <c r="G33" s="3" t="s">
        <v>313</v>
      </c>
      <c r="H33" s="4" t="s">
        <v>186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 t="s">
        <v>187</v>
      </c>
      <c r="W33" s="5"/>
      <c r="X33" s="5"/>
      <c r="Y33" s="5"/>
      <c r="Z33" s="5" t="s">
        <v>101</v>
      </c>
      <c r="AA33" s="5" t="s">
        <v>101</v>
      </c>
      <c r="AB33" s="5"/>
      <c r="AC33" s="5"/>
      <c r="AD33" s="5"/>
      <c r="AE33" s="5"/>
      <c r="AF33" s="5" t="s">
        <v>101</v>
      </c>
      <c r="AG33" s="5" t="s">
        <v>101</v>
      </c>
      <c r="AH33" s="5" t="s">
        <v>101</v>
      </c>
      <c r="AI33" s="5" t="s">
        <v>101</v>
      </c>
      <c r="AJ33" s="5" t="s">
        <v>101</v>
      </c>
      <c r="AK33" s="5" t="s">
        <v>101</v>
      </c>
      <c r="AL33" s="5" t="s">
        <v>101</v>
      </c>
      <c r="AM33" s="5" t="s">
        <v>101</v>
      </c>
      <c r="AN33" s="5"/>
      <c r="AO33" s="5" t="s">
        <v>188</v>
      </c>
      <c r="AP33" s="5" t="s">
        <v>101</v>
      </c>
      <c r="AQ33" s="5"/>
      <c r="AR33" s="5"/>
      <c r="AS33" s="5"/>
      <c r="AT33" s="5" t="s">
        <v>101</v>
      </c>
      <c r="AU33" s="5"/>
      <c r="AV33" s="5" t="s">
        <v>101</v>
      </c>
      <c r="AW33" s="5"/>
      <c r="AX33" s="5"/>
      <c r="AY33" s="5"/>
      <c r="AZ33" s="6" t="str">
        <f t="shared" si="0"/>
        <v>Missing</v>
      </c>
      <c r="BA33" s="7" t="str">
        <f t="shared" ca="1" si="1"/>
        <v>Missing</v>
      </c>
      <c r="BB33" s="7" t="str">
        <f t="shared" si="2"/>
        <v>Missing</v>
      </c>
      <c r="BC33" s="7" t="str">
        <f t="shared" si="3"/>
        <v>OK</v>
      </c>
      <c r="BD33" s="7" t="str">
        <f t="shared" si="4"/>
        <v>Clear</v>
      </c>
      <c r="BE33" s="7" t="str">
        <f t="shared" ca="1" si="5"/>
        <v/>
      </c>
      <c r="BF33" s="7" t="str">
        <f t="shared" ca="1" si="6"/>
        <v/>
      </c>
    </row>
    <row r="34" spans="1:58" x14ac:dyDescent="0.2">
      <c r="A34" s="3" t="s">
        <v>314</v>
      </c>
      <c r="B34" s="3">
        <v>6</v>
      </c>
      <c r="C34" s="3" t="s">
        <v>238</v>
      </c>
      <c r="D34" s="3">
        <v>2820</v>
      </c>
      <c r="E34" s="3" t="s">
        <v>315</v>
      </c>
      <c r="F34" s="3" t="s">
        <v>316</v>
      </c>
      <c r="G34" s="3" t="s">
        <v>317</v>
      </c>
      <c r="H34" s="4" t="s">
        <v>186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 t="s">
        <v>187</v>
      </c>
      <c r="W34" s="5"/>
      <c r="X34" s="5"/>
      <c r="Y34" s="5"/>
      <c r="Z34" s="5" t="s">
        <v>101</v>
      </c>
      <c r="AA34" s="5" t="s">
        <v>101</v>
      </c>
      <c r="AB34" s="5"/>
      <c r="AC34" s="5"/>
      <c r="AD34" s="5"/>
      <c r="AE34" s="5"/>
      <c r="AF34" s="5" t="s">
        <v>101</v>
      </c>
      <c r="AG34" s="5" t="s">
        <v>101</v>
      </c>
      <c r="AH34" s="5" t="s">
        <v>101</v>
      </c>
      <c r="AI34" s="5" t="s">
        <v>101</v>
      </c>
      <c r="AJ34" s="5" t="s">
        <v>101</v>
      </c>
      <c r="AK34" s="5" t="s">
        <v>101</v>
      </c>
      <c r="AL34" s="5" t="s">
        <v>101</v>
      </c>
      <c r="AM34" s="5" t="s">
        <v>101</v>
      </c>
      <c r="AN34" s="5"/>
      <c r="AO34" s="5" t="s">
        <v>188</v>
      </c>
      <c r="AP34" s="5" t="s">
        <v>101</v>
      </c>
      <c r="AQ34" s="5"/>
      <c r="AR34" s="5"/>
      <c r="AS34" s="5"/>
      <c r="AT34" s="5" t="s">
        <v>101</v>
      </c>
      <c r="AU34" s="5"/>
      <c r="AV34" s="5" t="s">
        <v>101</v>
      </c>
      <c r="AW34" s="5"/>
      <c r="AX34" s="5"/>
      <c r="AY34" s="5"/>
      <c r="AZ34" s="6" t="str">
        <f t="shared" ref="AZ34:AZ65" si="7">IF(AND(I34&lt;&gt;"",P34&lt;&gt;"",R34&lt;&gt;""),"Complete",IF(COUNTA(I34:R34)=0,"Missing","Partial"))</f>
        <v>Missing</v>
      </c>
      <c r="BA34" s="7" t="str">
        <f t="shared" ref="BA34:BA65" ca="1" si="8">IF(OR(Z34&lt;&gt;"Yes",AA34&lt;&gt;"Yes",AE34=""),"Missing",IF(AE34&lt;TODAY(),"Expired",IF(AE34&lt;=TODAY()+30,"Renewal &lt;30d",IF(AND(AF34="Yes",AG34="Yes",AJ34="Yes"),"Verified","Review"))))</f>
        <v>Missing</v>
      </c>
      <c r="BB34" s="7" t="str">
        <f t="shared" ref="BB34:BB65" si="9">IF(AND(AJ34="Yes",AK34="Yes",AL34="Yes",OR(V34&lt;&gt;"Tenant",AM34="Yes")),"Complete",IF(COUNTIF(AJ34:AM34,"Yes")=0,"Missing","Partial"))</f>
        <v>Missing</v>
      </c>
      <c r="BC34" s="7" t="str">
        <f t="shared" ref="BC34:BC65" si="10">IF(AP34="Yes","Active Issue",IF(AN34="Replacement Risk","Replacement Risk",IF(AN34="Repair Needed","Repair Needed",IF(AN34="Monitor","Monitor","OK"))))</f>
        <v>OK</v>
      </c>
      <c r="BD34" s="7" t="str">
        <f t="shared" ref="BD34:BD65" si="11">IF(AT34="Yes","Open Case",IF(AV34="Yes","Board Review","Clear"))</f>
        <v>Clear</v>
      </c>
      <c r="BE34" s="7" t="str">
        <f t="shared" ref="BE34:BE65" ca="1" si="12">IF(OR(BB34="Missing",BB34="Expired",BD34="Active Issue",BD34="Replacement Risk",BE34="Open Case",BC34="Missing"),"Immediate Action",IF(OR(BB34="Renewal &lt;30d",BB34="Review",BC34="Partial",BD34="Monitor",BE34="Board Review",BA34="Partial"),"Follow Up","Complete"))</f>
        <v/>
      </c>
      <c r="BF34" s="7" t="str">
        <f t="shared" ref="BF34:BF65" ca="1" si="13">(BA34&lt;&gt;"Complete")*1+(OR(BB34="Missing",BB34="Expired"))*3+(BB34="Renewal &lt;30d")*2+(BC34&lt;&gt;"Complete")*2+(OR(BD34="Active Issue",BD34="Replacement Risk"))*3+(BE34&lt;&gt;"Clear")*2+(H34="Review")*1</f>
        <v/>
      </c>
    </row>
    <row r="35" spans="1:58" x14ac:dyDescent="0.2">
      <c r="A35" s="3" t="s">
        <v>318</v>
      </c>
      <c r="B35" s="3">
        <v>6</v>
      </c>
      <c r="C35" s="3" t="s">
        <v>238</v>
      </c>
      <c r="D35" s="3">
        <v>2822</v>
      </c>
      <c r="E35" s="3" t="s">
        <v>319</v>
      </c>
      <c r="F35" s="3" t="s">
        <v>320</v>
      </c>
      <c r="G35" s="3" t="s">
        <v>321</v>
      </c>
      <c r="H35" s="4" t="s">
        <v>186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 t="s">
        <v>187</v>
      </c>
      <c r="W35" s="5"/>
      <c r="X35" s="5"/>
      <c r="Y35" s="5"/>
      <c r="Z35" s="5" t="s">
        <v>101</v>
      </c>
      <c r="AA35" s="5" t="s">
        <v>101</v>
      </c>
      <c r="AB35" s="5"/>
      <c r="AC35" s="5"/>
      <c r="AD35" s="5"/>
      <c r="AE35" s="5"/>
      <c r="AF35" s="5" t="s">
        <v>101</v>
      </c>
      <c r="AG35" s="5" t="s">
        <v>101</v>
      </c>
      <c r="AH35" s="5" t="s">
        <v>101</v>
      </c>
      <c r="AI35" s="5" t="s">
        <v>101</v>
      </c>
      <c r="AJ35" s="5" t="s">
        <v>101</v>
      </c>
      <c r="AK35" s="5" t="s">
        <v>101</v>
      </c>
      <c r="AL35" s="5" t="s">
        <v>101</v>
      </c>
      <c r="AM35" s="5" t="s">
        <v>101</v>
      </c>
      <c r="AN35" s="5"/>
      <c r="AO35" s="5" t="s">
        <v>188</v>
      </c>
      <c r="AP35" s="5" t="s">
        <v>101</v>
      </c>
      <c r="AQ35" s="5"/>
      <c r="AR35" s="5"/>
      <c r="AS35" s="5"/>
      <c r="AT35" s="5" t="s">
        <v>101</v>
      </c>
      <c r="AU35" s="5"/>
      <c r="AV35" s="5" t="s">
        <v>101</v>
      </c>
      <c r="AW35" s="5"/>
      <c r="AX35" s="5"/>
      <c r="AY35" s="5"/>
      <c r="AZ35" s="6" t="str">
        <f t="shared" si="7"/>
        <v>Missing</v>
      </c>
      <c r="BA35" s="7" t="str">
        <f t="shared" ca="1" si="8"/>
        <v>Missing</v>
      </c>
      <c r="BB35" s="7" t="str">
        <f t="shared" si="9"/>
        <v>Missing</v>
      </c>
      <c r="BC35" s="7" t="str">
        <f t="shared" si="10"/>
        <v>OK</v>
      </c>
      <c r="BD35" s="7" t="str">
        <f t="shared" si="11"/>
        <v>Clear</v>
      </c>
      <c r="BE35" s="7" t="str">
        <f t="shared" ca="1" si="12"/>
        <v/>
      </c>
      <c r="BF35" s="7" t="str">
        <f t="shared" ca="1" si="13"/>
        <v/>
      </c>
    </row>
    <row r="36" spans="1:58" x14ac:dyDescent="0.2">
      <c r="A36" s="3" t="s">
        <v>322</v>
      </c>
      <c r="B36" s="3">
        <v>6</v>
      </c>
      <c r="C36" s="3" t="s">
        <v>238</v>
      </c>
      <c r="D36" s="3">
        <v>2824</v>
      </c>
      <c r="E36" s="3" t="s">
        <v>323</v>
      </c>
      <c r="F36" s="3" t="s">
        <v>324</v>
      </c>
      <c r="G36" s="3" t="s">
        <v>325</v>
      </c>
      <c r="H36" s="4" t="s">
        <v>186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 t="s">
        <v>187</v>
      </c>
      <c r="W36" s="5"/>
      <c r="X36" s="5"/>
      <c r="Y36" s="5"/>
      <c r="Z36" s="5" t="s">
        <v>101</v>
      </c>
      <c r="AA36" s="5" t="s">
        <v>101</v>
      </c>
      <c r="AB36" s="5"/>
      <c r="AC36" s="5"/>
      <c r="AD36" s="5"/>
      <c r="AE36" s="5"/>
      <c r="AF36" s="5" t="s">
        <v>101</v>
      </c>
      <c r="AG36" s="5" t="s">
        <v>101</v>
      </c>
      <c r="AH36" s="5" t="s">
        <v>101</v>
      </c>
      <c r="AI36" s="5" t="s">
        <v>101</v>
      </c>
      <c r="AJ36" s="5" t="s">
        <v>101</v>
      </c>
      <c r="AK36" s="5" t="s">
        <v>101</v>
      </c>
      <c r="AL36" s="5" t="s">
        <v>101</v>
      </c>
      <c r="AM36" s="5" t="s">
        <v>101</v>
      </c>
      <c r="AN36" s="5"/>
      <c r="AO36" s="5" t="s">
        <v>188</v>
      </c>
      <c r="AP36" s="5" t="s">
        <v>101</v>
      </c>
      <c r="AQ36" s="5"/>
      <c r="AR36" s="5"/>
      <c r="AS36" s="5"/>
      <c r="AT36" s="5" t="s">
        <v>101</v>
      </c>
      <c r="AU36" s="5"/>
      <c r="AV36" s="5" t="s">
        <v>101</v>
      </c>
      <c r="AW36" s="5"/>
      <c r="AX36" s="5"/>
      <c r="AY36" s="5"/>
      <c r="AZ36" s="6" t="str">
        <f t="shared" si="7"/>
        <v>Missing</v>
      </c>
      <c r="BA36" s="7" t="str">
        <f t="shared" ca="1" si="8"/>
        <v>Missing</v>
      </c>
      <c r="BB36" s="7" t="str">
        <f t="shared" si="9"/>
        <v>Missing</v>
      </c>
      <c r="BC36" s="7" t="str">
        <f t="shared" si="10"/>
        <v>OK</v>
      </c>
      <c r="BD36" s="7" t="str">
        <f t="shared" si="11"/>
        <v>Clear</v>
      </c>
      <c r="BE36" s="7" t="str">
        <f t="shared" ca="1" si="12"/>
        <v/>
      </c>
      <c r="BF36" s="7" t="str">
        <f t="shared" ca="1" si="13"/>
        <v/>
      </c>
    </row>
    <row r="37" spans="1:58" x14ac:dyDescent="0.2">
      <c r="A37" s="3" t="s">
        <v>326</v>
      </c>
      <c r="B37" s="3">
        <v>6</v>
      </c>
      <c r="C37" s="3" t="s">
        <v>238</v>
      </c>
      <c r="D37" s="3">
        <v>2826</v>
      </c>
      <c r="E37" s="3" t="s">
        <v>327</v>
      </c>
      <c r="F37" s="3" t="s">
        <v>328</v>
      </c>
      <c r="G37" s="3" t="s">
        <v>329</v>
      </c>
      <c r="H37" s="4" t="s">
        <v>186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 t="s">
        <v>187</v>
      </c>
      <c r="W37" s="5"/>
      <c r="X37" s="5"/>
      <c r="Y37" s="5"/>
      <c r="Z37" s="5" t="s">
        <v>101</v>
      </c>
      <c r="AA37" s="5" t="s">
        <v>101</v>
      </c>
      <c r="AB37" s="5"/>
      <c r="AC37" s="5"/>
      <c r="AD37" s="5"/>
      <c r="AE37" s="5"/>
      <c r="AF37" s="5" t="s">
        <v>101</v>
      </c>
      <c r="AG37" s="5" t="s">
        <v>101</v>
      </c>
      <c r="AH37" s="5" t="s">
        <v>101</v>
      </c>
      <c r="AI37" s="5" t="s">
        <v>101</v>
      </c>
      <c r="AJ37" s="5" t="s">
        <v>101</v>
      </c>
      <c r="AK37" s="5" t="s">
        <v>101</v>
      </c>
      <c r="AL37" s="5" t="s">
        <v>101</v>
      </c>
      <c r="AM37" s="5" t="s">
        <v>101</v>
      </c>
      <c r="AN37" s="5"/>
      <c r="AO37" s="5" t="s">
        <v>188</v>
      </c>
      <c r="AP37" s="5" t="s">
        <v>101</v>
      </c>
      <c r="AQ37" s="5"/>
      <c r="AR37" s="5"/>
      <c r="AS37" s="5"/>
      <c r="AT37" s="5" t="s">
        <v>101</v>
      </c>
      <c r="AU37" s="5"/>
      <c r="AV37" s="5" t="s">
        <v>101</v>
      </c>
      <c r="AW37" s="5"/>
      <c r="AX37" s="5"/>
      <c r="AY37" s="5"/>
      <c r="AZ37" s="6" t="str">
        <f t="shared" si="7"/>
        <v>Missing</v>
      </c>
      <c r="BA37" s="7" t="str">
        <f t="shared" ca="1" si="8"/>
        <v>Missing</v>
      </c>
      <c r="BB37" s="7" t="str">
        <f t="shared" si="9"/>
        <v>Missing</v>
      </c>
      <c r="BC37" s="7" t="str">
        <f t="shared" si="10"/>
        <v>OK</v>
      </c>
      <c r="BD37" s="7" t="str">
        <f t="shared" si="11"/>
        <v>Clear</v>
      </c>
      <c r="BE37" s="7" t="str">
        <f t="shared" ca="1" si="12"/>
        <v/>
      </c>
      <c r="BF37" s="7" t="str">
        <f t="shared" ca="1" si="13"/>
        <v/>
      </c>
    </row>
    <row r="38" spans="1:58" x14ac:dyDescent="0.2">
      <c r="A38" s="3" t="s">
        <v>330</v>
      </c>
      <c r="B38" s="3">
        <v>7</v>
      </c>
      <c r="C38" s="3" t="s">
        <v>238</v>
      </c>
      <c r="D38" s="3">
        <v>2802</v>
      </c>
      <c r="E38" s="3" t="s">
        <v>331</v>
      </c>
      <c r="F38" s="3" t="s">
        <v>332</v>
      </c>
      <c r="G38" s="3" t="s">
        <v>333</v>
      </c>
      <c r="H38" s="4" t="s">
        <v>186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 t="s">
        <v>187</v>
      </c>
      <c r="W38" s="5"/>
      <c r="X38" s="5"/>
      <c r="Y38" s="5"/>
      <c r="Z38" s="5" t="s">
        <v>101</v>
      </c>
      <c r="AA38" s="5" t="s">
        <v>101</v>
      </c>
      <c r="AB38" s="5"/>
      <c r="AC38" s="5"/>
      <c r="AD38" s="5"/>
      <c r="AE38" s="5"/>
      <c r="AF38" s="5" t="s">
        <v>101</v>
      </c>
      <c r="AG38" s="5" t="s">
        <v>101</v>
      </c>
      <c r="AH38" s="5" t="s">
        <v>101</v>
      </c>
      <c r="AI38" s="5" t="s">
        <v>101</v>
      </c>
      <c r="AJ38" s="5" t="s">
        <v>101</v>
      </c>
      <c r="AK38" s="5" t="s">
        <v>101</v>
      </c>
      <c r="AL38" s="5" t="s">
        <v>101</v>
      </c>
      <c r="AM38" s="5" t="s">
        <v>101</v>
      </c>
      <c r="AN38" s="5"/>
      <c r="AO38" s="5" t="s">
        <v>188</v>
      </c>
      <c r="AP38" s="5" t="s">
        <v>101</v>
      </c>
      <c r="AQ38" s="5"/>
      <c r="AR38" s="5"/>
      <c r="AS38" s="5"/>
      <c r="AT38" s="5" t="s">
        <v>101</v>
      </c>
      <c r="AU38" s="5"/>
      <c r="AV38" s="5" t="s">
        <v>101</v>
      </c>
      <c r="AW38" s="5"/>
      <c r="AX38" s="5"/>
      <c r="AY38" s="5"/>
      <c r="AZ38" s="6" t="str">
        <f t="shared" si="7"/>
        <v>Missing</v>
      </c>
      <c r="BA38" s="7" t="str">
        <f t="shared" ca="1" si="8"/>
        <v>Missing</v>
      </c>
      <c r="BB38" s="7" t="str">
        <f t="shared" si="9"/>
        <v>Missing</v>
      </c>
      <c r="BC38" s="7" t="str">
        <f t="shared" si="10"/>
        <v>OK</v>
      </c>
      <c r="BD38" s="7" t="str">
        <f t="shared" si="11"/>
        <v>Clear</v>
      </c>
      <c r="BE38" s="7" t="str">
        <f t="shared" ca="1" si="12"/>
        <v/>
      </c>
      <c r="BF38" s="7" t="str">
        <f t="shared" ca="1" si="13"/>
        <v/>
      </c>
    </row>
    <row r="39" spans="1:58" x14ac:dyDescent="0.2">
      <c r="A39" s="3" t="s">
        <v>334</v>
      </c>
      <c r="B39" s="3">
        <v>7</v>
      </c>
      <c r="C39" s="3" t="s">
        <v>238</v>
      </c>
      <c r="D39" s="3">
        <v>2804</v>
      </c>
      <c r="E39" s="3" t="s">
        <v>335</v>
      </c>
      <c r="F39" s="3" t="s">
        <v>336</v>
      </c>
      <c r="G39" s="3" t="s">
        <v>337</v>
      </c>
      <c r="H39" s="4" t="s">
        <v>186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 t="s">
        <v>187</v>
      </c>
      <c r="W39" s="5"/>
      <c r="X39" s="5"/>
      <c r="Y39" s="5"/>
      <c r="Z39" s="5" t="s">
        <v>101</v>
      </c>
      <c r="AA39" s="5" t="s">
        <v>101</v>
      </c>
      <c r="AB39" s="5"/>
      <c r="AC39" s="5"/>
      <c r="AD39" s="5"/>
      <c r="AE39" s="5"/>
      <c r="AF39" s="5" t="s">
        <v>101</v>
      </c>
      <c r="AG39" s="5" t="s">
        <v>101</v>
      </c>
      <c r="AH39" s="5" t="s">
        <v>101</v>
      </c>
      <c r="AI39" s="5" t="s">
        <v>101</v>
      </c>
      <c r="AJ39" s="5" t="s">
        <v>101</v>
      </c>
      <c r="AK39" s="5" t="s">
        <v>101</v>
      </c>
      <c r="AL39" s="5" t="s">
        <v>101</v>
      </c>
      <c r="AM39" s="5" t="s">
        <v>101</v>
      </c>
      <c r="AN39" s="5"/>
      <c r="AO39" s="5" t="s">
        <v>188</v>
      </c>
      <c r="AP39" s="5" t="s">
        <v>101</v>
      </c>
      <c r="AQ39" s="5"/>
      <c r="AR39" s="5"/>
      <c r="AS39" s="5"/>
      <c r="AT39" s="5" t="s">
        <v>101</v>
      </c>
      <c r="AU39" s="5"/>
      <c r="AV39" s="5" t="s">
        <v>101</v>
      </c>
      <c r="AW39" s="5"/>
      <c r="AX39" s="5"/>
      <c r="AY39" s="5"/>
      <c r="AZ39" s="6" t="str">
        <f t="shared" si="7"/>
        <v>Missing</v>
      </c>
      <c r="BA39" s="7" t="str">
        <f t="shared" ca="1" si="8"/>
        <v>Missing</v>
      </c>
      <c r="BB39" s="7" t="str">
        <f t="shared" si="9"/>
        <v>Missing</v>
      </c>
      <c r="BC39" s="7" t="str">
        <f t="shared" si="10"/>
        <v>OK</v>
      </c>
      <c r="BD39" s="7" t="str">
        <f t="shared" si="11"/>
        <v>Clear</v>
      </c>
      <c r="BE39" s="7" t="str">
        <f t="shared" ca="1" si="12"/>
        <v/>
      </c>
      <c r="BF39" s="7" t="str">
        <f t="shared" ca="1" si="13"/>
        <v/>
      </c>
    </row>
    <row r="40" spans="1:58" x14ac:dyDescent="0.2">
      <c r="A40" s="3" t="s">
        <v>338</v>
      </c>
      <c r="B40" s="3">
        <v>7</v>
      </c>
      <c r="C40" s="3" t="s">
        <v>238</v>
      </c>
      <c r="D40" s="3">
        <v>2806</v>
      </c>
      <c r="E40" s="3" t="s">
        <v>339</v>
      </c>
      <c r="F40" s="3" t="s">
        <v>340</v>
      </c>
      <c r="G40" s="3" t="s">
        <v>341</v>
      </c>
      <c r="H40" s="4" t="s">
        <v>186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 t="s">
        <v>187</v>
      </c>
      <c r="W40" s="5"/>
      <c r="X40" s="5"/>
      <c r="Y40" s="5"/>
      <c r="Z40" s="5" t="s">
        <v>101</v>
      </c>
      <c r="AA40" s="5" t="s">
        <v>101</v>
      </c>
      <c r="AB40" s="5"/>
      <c r="AC40" s="5"/>
      <c r="AD40" s="5"/>
      <c r="AE40" s="5"/>
      <c r="AF40" s="5" t="s">
        <v>101</v>
      </c>
      <c r="AG40" s="5" t="s">
        <v>101</v>
      </c>
      <c r="AH40" s="5" t="s">
        <v>101</v>
      </c>
      <c r="AI40" s="5" t="s">
        <v>101</v>
      </c>
      <c r="AJ40" s="5" t="s">
        <v>101</v>
      </c>
      <c r="AK40" s="5" t="s">
        <v>101</v>
      </c>
      <c r="AL40" s="5" t="s">
        <v>101</v>
      </c>
      <c r="AM40" s="5" t="s">
        <v>101</v>
      </c>
      <c r="AN40" s="5"/>
      <c r="AO40" s="5" t="s">
        <v>188</v>
      </c>
      <c r="AP40" s="5" t="s">
        <v>101</v>
      </c>
      <c r="AQ40" s="5"/>
      <c r="AR40" s="5"/>
      <c r="AS40" s="5"/>
      <c r="AT40" s="5" t="s">
        <v>101</v>
      </c>
      <c r="AU40" s="5"/>
      <c r="AV40" s="5" t="s">
        <v>101</v>
      </c>
      <c r="AW40" s="5"/>
      <c r="AX40" s="5"/>
      <c r="AY40" s="5"/>
      <c r="AZ40" s="6" t="str">
        <f t="shared" si="7"/>
        <v>Missing</v>
      </c>
      <c r="BA40" s="7" t="str">
        <f t="shared" ca="1" si="8"/>
        <v>Missing</v>
      </c>
      <c r="BB40" s="7" t="str">
        <f t="shared" si="9"/>
        <v>Missing</v>
      </c>
      <c r="BC40" s="7" t="str">
        <f t="shared" si="10"/>
        <v>OK</v>
      </c>
      <c r="BD40" s="7" t="str">
        <f t="shared" si="11"/>
        <v>Clear</v>
      </c>
      <c r="BE40" s="7" t="str">
        <f t="shared" ca="1" si="12"/>
        <v/>
      </c>
      <c r="BF40" s="7" t="str">
        <f t="shared" ca="1" si="13"/>
        <v/>
      </c>
    </row>
    <row r="41" spans="1:58" x14ac:dyDescent="0.2">
      <c r="A41" s="3" t="s">
        <v>342</v>
      </c>
      <c r="B41" s="3">
        <v>7</v>
      </c>
      <c r="C41" s="3" t="s">
        <v>238</v>
      </c>
      <c r="D41" s="3">
        <v>2808</v>
      </c>
      <c r="E41" s="3" t="s">
        <v>343</v>
      </c>
      <c r="F41" s="3" t="s">
        <v>344</v>
      </c>
      <c r="G41" s="3" t="s">
        <v>345</v>
      </c>
      <c r="H41" s="4" t="s">
        <v>186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 t="s">
        <v>187</v>
      </c>
      <c r="W41" s="5"/>
      <c r="X41" s="5"/>
      <c r="Y41" s="5"/>
      <c r="Z41" s="5" t="s">
        <v>101</v>
      </c>
      <c r="AA41" s="5" t="s">
        <v>101</v>
      </c>
      <c r="AB41" s="5"/>
      <c r="AC41" s="5"/>
      <c r="AD41" s="5"/>
      <c r="AE41" s="5"/>
      <c r="AF41" s="5" t="s">
        <v>101</v>
      </c>
      <c r="AG41" s="5" t="s">
        <v>101</v>
      </c>
      <c r="AH41" s="5" t="s">
        <v>101</v>
      </c>
      <c r="AI41" s="5" t="s">
        <v>101</v>
      </c>
      <c r="AJ41" s="5" t="s">
        <v>101</v>
      </c>
      <c r="AK41" s="5" t="s">
        <v>101</v>
      </c>
      <c r="AL41" s="5" t="s">
        <v>101</v>
      </c>
      <c r="AM41" s="5" t="s">
        <v>101</v>
      </c>
      <c r="AN41" s="5"/>
      <c r="AO41" s="5" t="s">
        <v>188</v>
      </c>
      <c r="AP41" s="5" t="s">
        <v>101</v>
      </c>
      <c r="AQ41" s="5"/>
      <c r="AR41" s="5"/>
      <c r="AS41" s="5"/>
      <c r="AT41" s="5" t="s">
        <v>101</v>
      </c>
      <c r="AU41" s="5"/>
      <c r="AV41" s="5" t="s">
        <v>101</v>
      </c>
      <c r="AW41" s="5"/>
      <c r="AX41" s="5"/>
      <c r="AY41" s="5"/>
      <c r="AZ41" s="6" t="str">
        <f t="shared" si="7"/>
        <v>Missing</v>
      </c>
      <c r="BA41" s="7" t="str">
        <f t="shared" ca="1" si="8"/>
        <v>Missing</v>
      </c>
      <c r="BB41" s="7" t="str">
        <f t="shared" si="9"/>
        <v>Missing</v>
      </c>
      <c r="BC41" s="7" t="str">
        <f t="shared" si="10"/>
        <v>OK</v>
      </c>
      <c r="BD41" s="7" t="str">
        <f t="shared" si="11"/>
        <v>Clear</v>
      </c>
      <c r="BE41" s="7" t="str">
        <f t="shared" ca="1" si="12"/>
        <v/>
      </c>
      <c r="BF41" s="7" t="str">
        <f t="shared" ca="1" si="13"/>
        <v/>
      </c>
    </row>
    <row r="42" spans="1:58" x14ac:dyDescent="0.2">
      <c r="A42" s="3" t="s">
        <v>346</v>
      </c>
      <c r="B42" s="3">
        <v>7</v>
      </c>
      <c r="C42" s="3" t="s">
        <v>238</v>
      </c>
      <c r="D42" s="3">
        <v>2810</v>
      </c>
      <c r="E42" s="3" t="s">
        <v>347</v>
      </c>
      <c r="F42" s="3" t="s">
        <v>348</v>
      </c>
      <c r="G42" s="3" t="s">
        <v>349</v>
      </c>
      <c r="H42" s="4" t="s">
        <v>186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 t="s">
        <v>187</v>
      </c>
      <c r="W42" s="5"/>
      <c r="X42" s="5"/>
      <c r="Y42" s="5"/>
      <c r="Z42" s="5" t="s">
        <v>101</v>
      </c>
      <c r="AA42" s="5" t="s">
        <v>101</v>
      </c>
      <c r="AB42" s="5"/>
      <c r="AC42" s="5"/>
      <c r="AD42" s="5"/>
      <c r="AE42" s="5"/>
      <c r="AF42" s="5" t="s">
        <v>101</v>
      </c>
      <c r="AG42" s="5" t="s">
        <v>101</v>
      </c>
      <c r="AH42" s="5" t="s">
        <v>101</v>
      </c>
      <c r="AI42" s="5" t="s">
        <v>101</v>
      </c>
      <c r="AJ42" s="5" t="s">
        <v>101</v>
      </c>
      <c r="AK42" s="5" t="s">
        <v>101</v>
      </c>
      <c r="AL42" s="5" t="s">
        <v>101</v>
      </c>
      <c r="AM42" s="5" t="s">
        <v>101</v>
      </c>
      <c r="AN42" s="5"/>
      <c r="AO42" s="5" t="s">
        <v>188</v>
      </c>
      <c r="AP42" s="5" t="s">
        <v>101</v>
      </c>
      <c r="AQ42" s="5"/>
      <c r="AR42" s="5"/>
      <c r="AS42" s="5"/>
      <c r="AT42" s="5" t="s">
        <v>101</v>
      </c>
      <c r="AU42" s="5"/>
      <c r="AV42" s="5" t="s">
        <v>101</v>
      </c>
      <c r="AW42" s="5"/>
      <c r="AX42" s="5"/>
      <c r="AY42" s="5"/>
      <c r="AZ42" s="6" t="str">
        <f t="shared" si="7"/>
        <v>Missing</v>
      </c>
      <c r="BA42" s="7" t="str">
        <f t="shared" ca="1" si="8"/>
        <v>Missing</v>
      </c>
      <c r="BB42" s="7" t="str">
        <f t="shared" si="9"/>
        <v>Missing</v>
      </c>
      <c r="BC42" s="7" t="str">
        <f t="shared" si="10"/>
        <v>OK</v>
      </c>
      <c r="BD42" s="7" t="str">
        <f t="shared" si="11"/>
        <v>Clear</v>
      </c>
      <c r="BE42" s="7" t="str">
        <f t="shared" ca="1" si="12"/>
        <v/>
      </c>
      <c r="BF42" s="7" t="str">
        <f t="shared" ca="1" si="13"/>
        <v/>
      </c>
    </row>
    <row r="43" spans="1:58" x14ac:dyDescent="0.2">
      <c r="A43" s="3" t="s">
        <v>350</v>
      </c>
      <c r="B43" s="3">
        <v>7</v>
      </c>
      <c r="C43" s="3" t="s">
        <v>238</v>
      </c>
      <c r="D43" s="3">
        <v>2812</v>
      </c>
      <c r="E43" s="3" t="s">
        <v>351</v>
      </c>
      <c r="F43" s="3" t="s">
        <v>352</v>
      </c>
      <c r="G43" s="3" t="s">
        <v>353</v>
      </c>
      <c r="H43" s="4" t="s">
        <v>186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 t="s">
        <v>187</v>
      </c>
      <c r="W43" s="5"/>
      <c r="X43" s="5"/>
      <c r="Y43" s="5"/>
      <c r="Z43" s="5" t="s">
        <v>101</v>
      </c>
      <c r="AA43" s="5" t="s">
        <v>101</v>
      </c>
      <c r="AB43" s="5"/>
      <c r="AC43" s="5"/>
      <c r="AD43" s="5"/>
      <c r="AE43" s="5"/>
      <c r="AF43" s="5" t="s">
        <v>101</v>
      </c>
      <c r="AG43" s="5" t="s">
        <v>101</v>
      </c>
      <c r="AH43" s="5" t="s">
        <v>101</v>
      </c>
      <c r="AI43" s="5" t="s">
        <v>101</v>
      </c>
      <c r="AJ43" s="5" t="s">
        <v>101</v>
      </c>
      <c r="AK43" s="5" t="s">
        <v>101</v>
      </c>
      <c r="AL43" s="5" t="s">
        <v>101</v>
      </c>
      <c r="AM43" s="5" t="s">
        <v>101</v>
      </c>
      <c r="AN43" s="5"/>
      <c r="AO43" s="5" t="s">
        <v>188</v>
      </c>
      <c r="AP43" s="5" t="s">
        <v>101</v>
      </c>
      <c r="AQ43" s="5"/>
      <c r="AR43" s="5"/>
      <c r="AS43" s="5"/>
      <c r="AT43" s="5" t="s">
        <v>101</v>
      </c>
      <c r="AU43" s="5"/>
      <c r="AV43" s="5" t="s">
        <v>101</v>
      </c>
      <c r="AW43" s="5"/>
      <c r="AX43" s="5"/>
      <c r="AY43" s="5"/>
      <c r="AZ43" s="6" t="str">
        <f t="shared" si="7"/>
        <v>Missing</v>
      </c>
      <c r="BA43" s="7" t="str">
        <f t="shared" ca="1" si="8"/>
        <v>Missing</v>
      </c>
      <c r="BB43" s="7" t="str">
        <f t="shared" si="9"/>
        <v>Missing</v>
      </c>
      <c r="BC43" s="7" t="str">
        <f t="shared" si="10"/>
        <v>OK</v>
      </c>
      <c r="BD43" s="7" t="str">
        <f t="shared" si="11"/>
        <v>Clear</v>
      </c>
      <c r="BE43" s="7" t="str">
        <f t="shared" ca="1" si="12"/>
        <v/>
      </c>
      <c r="BF43" s="7" t="str">
        <f t="shared" ca="1" si="13"/>
        <v/>
      </c>
    </row>
    <row r="44" spans="1:58" x14ac:dyDescent="0.2">
      <c r="A44" s="3" t="s">
        <v>354</v>
      </c>
      <c r="B44" s="3">
        <v>8</v>
      </c>
      <c r="C44" s="3" t="s">
        <v>238</v>
      </c>
      <c r="D44" s="3">
        <v>2803</v>
      </c>
      <c r="E44" s="3" t="s">
        <v>355</v>
      </c>
      <c r="F44" s="3" t="s">
        <v>356</v>
      </c>
      <c r="G44" s="3" t="s">
        <v>357</v>
      </c>
      <c r="H44" s="4" t="s">
        <v>186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 t="s">
        <v>187</v>
      </c>
      <c r="W44" s="5"/>
      <c r="X44" s="5"/>
      <c r="Y44" s="5"/>
      <c r="Z44" s="5" t="s">
        <v>101</v>
      </c>
      <c r="AA44" s="5" t="s">
        <v>101</v>
      </c>
      <c r="AB44" s="5"/>
      <c r="AC44" s="5"/>
      <c r="AD44" s="5"/>
      <c r="AE44" s="5"/>
      <c r="AF44" s="5" t="s">
        <v>101</v>
      </c>
      <c r="AG44" s="5" t="s">
        <v>101</v>
      </c>
      <c r="AH44" s="5" t="s">
        <v>101</v>
      </c>
      <c r="AI44" s="5" t="s">
        <v>101</v>
      </c>
      <c r="AJ44" s="5" t="s">
        <v>101</v>
      </c>
      <c r="AK44" s="5" t="s">
        <v>101</v>
      </c>
      <c r="AL44" s="5" t="s">
        <v>101</v>
      </c>
      <c r="AM44" s="5" t="s">
        <v>101</v>
      </c>
      <c r="AN44" s="5"/>
      <c r="AO44" s="5" t="s">
        <v>188</v>
      </c>
      <c r="AP44" s="5" t="s">
        <v>101</v>
      </c>
      <c r="AQ44" s="5"/>
      <c r="AR44" s="5"/>
      <c r="AS44" s="5"/>
      <c r="AT44" s="5" t="s">
        <v>101</v>
      </c>
      <c r="AU44" s="5"/>
      <c r="AV44" s="5" t="s">
        <v>101</v>
      </c>
      <c r="AW44" s="5"/>
      <c r="AX44" s="5"/>
      <c r="AY44" s="5"/>
      <c r="AZ44" s="6" t="str">
        <f t="shared" si="7"/>
        <v>Missing</v>
      </c>
      <c r="BA44" s="7" t="str">
        <f t="shared" ca="1" si="8"/>
        <v>Missing</v>
      </c>
      <c r="BB44" s="7" t="str">
        <f t="shared" si="9"/>
        <v>Missing</v>
      </c>
      <c r="BC44" s="7" t="str">
        <f t="shared" si="10"/>
        <v>OK</v>
      </c>
      <c r="BD44" s="7" t="str">
        <f t="shared" si="11"/>
        <v>Clear</v>
      </c>
      <c r="BE44" s="7" t="str">
        <f t="shared" ca="1" si="12"/>
        <v/>
      </c>
      <c r="BF44" s="7" t="str">
        <f t="shared" ca="1" si="13"/>
        <v/>
      </c>
    </row>
    <row r="45" spans="1:58" x14ac:dyDescent="0.2">
      <c r="A45" s="3" t="s">
        <v>358</v>
      </c>
      <c r="B45" s="3">
        <v>8</v>
      </c>
      <c r="C45" s="3" t="s">
        <v>238</v>
      </c>
      <c r="D45" s="3">
        <v>2805</v>
      </c>
      <c r="E45" s="3" t="s">
        <v>359</v>
      </c>
      <c r="F45" s="3" t="s">
        <v>360</v>
      </c>
      <c r="G45" s="3" t="s">
        <v>361</v>
      </c>
      <c r="H45" s="4" t="s">
        <v>186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 t="s">
        <v>187</v>
      </c>
      <c r="W45" s="5"/>
      <c r="X45" s="5"/>
      <c r="Y45" s="5"/>
      <c r="Z45" s="5" t="s">
        <v>101</v>
      </c>
      <c r="AA45" s="5" t="s">
        <v>101</v>
      </c>
      <c r="AB45" s="5"/>
      <c r="AC45" s="5"/>
      <c r="AD45" s="5"/>
      <c r="AE45" s="5"/>
      <c r="AF45" s="5" t="s">
        <v>101</v>
      </c>
      <c r="AG45" s="5" t="s">
        <v>101</v>
      </c>
      <c r="AH45" s="5" t="s">
        <v>101</v>
      </c>
      <c r="AI45" s="5" t="s">
        <v>101</v>
      </c>
      <c r="AJ45" s="5" t="s">
        <v>101</v>
      </c>
      <c r="AK45" s="5" t="s">
        <v>101</v>
      </c>
      <c r="AL45" s="5" t="s">
        <v>101</v>
      </c>
      <c r="AM45" s="5" t="s">
        <v>101</v>
      </c>
      <c r="AN45" s="5"/>
      <c r="AO45" s="5" t="s">
        <v>188</v>
      </c>
      <c r="AP45" s="5" t="s">
        <v>101</v>
      </c>
      <c r="AQ45" s="5"/>
      <c r="AR45" s="5"/>
      <c r="AS45" s="5"/>
      <c r="AT45" s="5" t="s">
        <v>101</v>
      </c>
      <c r="AU45" s="5"/>
      <c r="AV45" s="5" t="s">
        <v>101</v>
      </c>
      <c r="AW45" s="5"/>
      <c r="AX45" s="5"/>
      <c r="AY45" s="5"/>
      <c r="AZ45" s="6" t="str">
        <f t="shared" si="7"/>
        <v>Missing</v>
      </c>
      <c r="BA45" s="7" t="str">
        <f t="shared" ca="1" si="8"/>
        <v>Missing</v>
      </c>
      <c r="BB45" s="7" t="str">
        <f t="shared" si="9"/>
        <v>Missing</v>
      </c>
      <c r="BC45" s="7" t="str">
        <f t="shared" si="10"/>
        <v>OK</v>
      </c>
      <c r="BD45" s="7" t="str">
        <f t="shared" si="11"/>
        <v>Clear</v>
      </c>
      <c r="BE45" s="7" t="str">
        <f t="shared" ca="1" si="12"/>
        <v/>
      </c>
      <c r="BF45" s="7" t="str">
        <f t="shared" ca="1" si="13"/>
        <v/>
      </c>
    </row>
    <row r="46" spans="1:58" x14ac:dyDescent="0.2">
      <c r="A46" s="3" t="s">
        <v>362</v>
      </c>
      <c r="B46" s="3">
        <v>8</v>
      </c>
      <c r="C46" s="3" t="s">
        <v>238</v>
      </c>
      <c r="D46" s="3">
        <v>2807</v>
      </c>
      <c r="E46" s="3" t="s">
        <v>363</v>
      </c>
      <c r="F46" s="3" t="s">
        <v>364</v>
      </c>
      <c r="G46" s="3" t="s">
        <v>365</v>
      </c>
      <c r="H46" s="4" t="s">
        <v>186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 t="s">
        <v>187</v>
      </c>
      <c r="W46" s="5"/>
      <c r="X46" s="5"/>
      <c r="Y46" s="5"/>
      <c r="Z46" s="5" t="s">
        <v>101</v>
      </c>
      <c r="AA46" s="5" t="s">
        <v>101</v>
      </c>
      <c r="AB46" s="5"/>
      <c r="AC46" s="5"/>
      <c r="AD46" s="5"/>
      <c r="AE46" s="5"/>
      <c r="AF46" s="5" t="s">
        <v>101</v>
      </c>
      <c r="AG46" s="5" t="s">
        <v>101</v>
      </c>
      <c r="AH46" s="5" t="s">
        <v>101</v>
      </c>
      <c r="AI46" s="5" t="s">
        <v>101</v>
      </c>
      <c r="AJ46" s="5" t="s">
        <v>101</v>
      </c>
      <c r="AK46" s="5" t="s">
        <v>101</v>
      </c>
      <c r="AL46" s="5" t="s">
        <v>101</v>
      </c>
      <c r="AM46" s="5" t="s">
        <v>101</v>
      </c>
      <c r="AN46" s="5"/>
      <c r="AO46" s="5" t="s">
        <v>188</v>
      </c>
      <c r="AP46" s="5" t="s">
        <v>101</v>
      </c>
      <c r="AQ46" s="5"/>
      <c r="AR46" s="5"/>
      <c r="AS46" s="5"/>
      <c r="AT46" s="5" t="s">
        <v>101</v>
      </c>
      <c r="AU46" s="5"/>
      <c r="AV46" s="5" t="s">
        <v>101</v>
      </c>
      <c r="AW46" s="5"/>
      <c r="AX46" s="5"/>
      <c r="AY46" s="5"/>
      <c r="AZ46" s="6" t="str">
        <f t="shared" si="7"/>
        <v>Missing</v>
      </c>
      <c r="BA46" s="7" t="str">
        <f t="shared" ca="1" si="8"/>
        <v>Missing</v>
      </c>
      <c r="BB46" s="7" t="str">
        <f t="shared" si="9"/>
        <v>Missing</v>
      </c>
      <c r="BC46" s="7" t="str">
        <f t="shared" si="10"/>
        <v>OK</v>
      </c>
      <c r="BD46" s="7" t="str">
        <f t="shared" si="11"/>
        <v>Clear</v>
      </c>
      <c r="BE46" s="7" t="str">
        <f t="shared" ca="1" si="12"/>
        <v/>
      </c>
      <c r="BF46" s="7" t="str">
        <f t="shared" ca="1" si="13"/>
        <v/>
      </c>
    </row>
    <row r="47" spans="1:58" x14ac:dyDescent="0.2">
      <c r="A47" s="3" t="s">
        <v>366</v>
      </c>
      <c r="B47" s="3">
        <v>8</v>
      </c>
      <c r="C47" s="3" t="s">
        <v>238</v>
      </c>
      <c r="D47" s="3">
        <v>2809</v>
      </c>
      <c r="E47" s="3" t="s">
        <v>367</v>
      </c>
      <c r="F47" s="3" t="s">
        <v>368</v>
      </c>
      <c r="G47" s="3" t="s">
        <v>369</v>
      </c>
      <c r="H47" s="4" t="s">
        <v>186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 t="s">
        <v>187</v>
      </c>
      <c r="W47" s="5"/>
      <c r="X47" s="5"/>
      <c r="Y47" s="5"/>
      <c r="Z47" s="5" t="s">
        <v>101</v>
      </c>
      <c r="AA47" s="5" t="s">
        <v>101</v>
      </c>
      <c r="AB47" s="5"/>
      <c r="AC47" s="5"/>
      <c r="AD47" s="5"/>
      <c r="AE47" s="5"/>
      <c r="AF47" s="5" t="s">
        <v>101</v>
      </c>
      <c r="AG47" s="5" t="s">
        <v>101</v>
      </c>
      <c r="AH47" s="5" t="s">
        <v>101</v>
      </c>
      <c r="AI47" s="5" t="s">
        <v>101</v>
      </c>
      <c r="AJ47" s="5" t="s">
        <v>101</v>
      </c>
      <c r="AK47" s="5" t="s">
        <v>101</v>
      </c>
      <c r="AL47" s="5" t="s">
        <v>101</v>
      </c>
      <c r="AM47" s="5" t="s">
        <v>101</v>
      </c>
      <c r="AN47" s="5"/>
      <c r="AO47" s="5" t="s">
        <v>188</v>
      </c>
      <c r="AP47" s="5" t="s">
        <v>101</v>
      </c>
      <c r="AQ47" s="5"/>
      <c r="AR47" s="5"/>
      <c r="AS47" s="5"/>
      <c r="AT47" s="5" t="s">
        <v>101</v>
      </c>
      <c r="AU47" s="5"/>
      <c r="AV47" s="5" t="s">
        <v>101</v>
      </c>
      <c r="AW47" s="5"/>
      <c r="AX47" s="5"/>
      <c r="AY47" s="5"/>
      <c r="AZ47" s="6" t="str">
        <f t="shared" si="7"/>
        <v>Missing</v>
      </c>
      <c r="BA47" s="7" t="str">
        <f t="shared" ca="1" si="8"/>
        <v>Missing</v>
      </c>
      <c r="BB47" s="7" t="str">
        <f t="shared" si="9"/>
        <v>Missing</v>
      </c>
      <c r="BC47" s="7" t="str">
        <f t="shared" si="10"/>
        <v>OK</v>
      </c>
      <c r="BD47" s="7" t="str">
        <f t="shared" si="11"/>
        <v>Clear</v>
      </c>
      <c r="BE47" s="7" t="str">
        <f t="shared" ca="1" si="12"/>
        <v/>
      </c>
      <c r="BF47" s="7" t="str">
        <f t="shared" ca="1" si="13"/>
        <v/>
      </c>
    </row>
    <row r="48" spans="1:58" x14ac:dyDescent="0.2">
      <c r="A48" s="3" t="s">
        <v>370</v>
      </c>
      <c r="B48" s="3">
        <v>8</v>
      </c>
      <c r="C48" s="3" t="s">
        <v>238</v>
      </c>
      <c r="D48" s="3">
        <v>2811</v>
      </c>
      <c r="E48" s="3" t="s">
        <v>371</v>
      </c>
      <c r="F48" s="3" t="s">
        <v>372</v>
      </c>
      <c r="G48" s="3" t="s">
        <v>373</v>
      </c>
      <c r="H48" s="4" t="s">
        <v>186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 t="s">
        <v>187</v>
      </c>
      <c r="W48" s="5"/>
      <c r="X48" s="5"/>
      <c r="Y48" s="5"/>
      <c r="Z48" s="5" t="s">
        <v>101</v>
      </c>
      <c r="AA48" s="5" t="s">
        <v>101</v>
      </c>
      <c r="AB48" s="5"/>
      <c r="AC48" s="5"/>
      <c r="AD48" s="5"/>
      <c r="AE48" s="5"/>
      <c r="AF48" s="5" t="s">
        <v>101</v>
      </c>
      <c r="AG48" s="5" t="s">
        <v>101</v>
      </c>
      <c r="AH48" s="5" t="s">
        <v>101</v>
      </c>
      <c r="AI48" s="5" t="s">
        <v>101</v>
      </c>
      <c r="AJ48" s="5" t="s">
        <v>101</v>
      </c>
      <c r="AK48" s="5" t="s">
        <v>101</v>
      </c>
      <c r="AL48" s="5" t="s">
        <v>101</v>
      </c>
      <c r="AM48" s="5" t="s">
        <v>101</v>
      </c>
      <c r="AN48" s="5"/>
      <c r="AO48" s="5" t="s">
        <v>188</v>
      </c>
      <c r="AP48" s="5" t="s">
        <v>101</v>
      </c>
      <c r="AQ48" s="5"/>
      <c r="AR48" s="5"/>
      <c r="AS48" s="5"/>
      <c r="AT48" s="5" t="s">
        <v>101</v>
      </c>
      <c r="AU48" s="5"/>
      <c r="AV48" s="5" t="s">
        <v>101</v>
      </c>
      <c r="AW48" s="5"/>
      <c r="AX48" s="5"/>
      <c r="AY48" s="5"/>
      <c r="AZ48" s="6" t="str">
        <f t="shared" si="7"/>
        <v>Missing</v>
      </c>
      <c r="BA48" s="7" t="str">
        <f t="shared" ca="1" si="8"/>
        <v>Missing</v>
      </c>
      <c r="BB48" s="7" t="str">
        <f t="shared" si="9"/>
        <v>Missing</v>
      </c>
      <c r="BC48" s="7" t="str">
        <f t="shared" si="10"/>
        <v>OK</v>
      </c>
      <c r="BD48" s="7" t="str">
        <f t="shared" si="11"/>
        <v>Clear</v>
      </c>
      <c r="BE48" s="7" t="str">
        <f t="shared" ca="1" si="12"/>
        <v/>
      </c>
      <c r="BF48" s="7" t="str">
        <f t="shared" ca="1" si="13"/>
        <v/>
      </c>
    </row>
    <row r="49" spans="1:58" x14ac:dyDescent="0.2">
      <c r="A49" s="3" t="s">
        <v>374</v>
      </c>
      <c r="B49" s="3">
        <v>8</v>
      </c>
      <c r="C49" s="3" t="s">
        <v>238</v>
      </c>
      <c r="D49" s="3">
        <v>2813</v>
      </c>
      <c r="E49" s="3" t="s">
        <v>375</v>
      </c>
      <c r="F49" s="3" t="s">
        <v>376</v>
      </c>
      <c r="G49" s="3" t="s">
        <v>377</v>
      </c>
      <c r="H49" s="4" t="s">
        <v>186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 t="s">
        <v>187</v>
      </c>
      <c r="W49" s="5"/>
      <c r="X49" s="5"/>
      <c r="Y49" s="5"/>
      <c r="Z49" s="5" t="s">
        <v>101</v>
      </c>
      <c r="AA49" s="5" t="s">
        <v>101</v>
      </c>
      <c r="AB49" s="5"/>
      <c r="AC49" s="5"/>
      <c r="AD49" s="5"/>
      <c r="AE49" s="5"/>
      <c r="AF49" s="5" t="s">
        <v>101</v>
      </c>
      <c r="AG49" s="5" t="s">
        <v>101</v>
      </c>
      <c r="AH49" s="5" t="s">
        <v>101</v>
      </c>
      <c r="AI49" s="5" t="s">
        <v>101</v>
      </c>
      <c r="AJ49" s="5" t="s">
        <v>101</v>
      </c>
      <c r="AK49" s="5" t="s">
        <v>101</v>
      </c>
      <c r="AL49" s="5" t="s">
        <v>101</v>
      </c>
      <c r="AM49" s="5" t="s">
        <v>101</v>
      </c>
      <c r="AN49" s="5"/>
      <c r="AO49" s="5" t="s">
        <v>188</v>
      </c>
      <c r="AP49" s="5" t="s">
        <v>101</v>
      </c>
      <c r="AQ49" s="5"/>
      <c r="AR49" s="5"/>
      <c r="AS49" s="5"/>
      <c r="AT49" s="5" t="s">
        <v>101</v>
      </c>
      <c r="AU49" s="5"/>
      <c r="AV49" s="5" t="s">
        <v>101</v>
      </c>
      <c r="AW49" s="5"/>
      <c r="AX49" s="5"/>
      <c r="AY49" s="5"/>
      <c r="AZ49" s="6" t="str">
        <f t="shared" si="7"/>
        <v>Missing</v>
      </c>
      <c r="BA49" s="7" t="str">
        <f t="shared" ca="1" si="8"/>
        <v>Missing</v>
      </c>
      <c r="BB49" s="7" t="str">
        <f t="shared" si="9"/>
        <v>Missing</v>
      </c>
      <c r="BC49" s="7" t="str">
        <f t="shared" si="10"/>
        <v>OK</v>
      </c>
      <c r="BD49" s="7" t="str">
        <f t="shared" si="11"/>
        <v>Clear</v>
      </c>
      <c r="BE49" s="7" t="str">
        <f t="shared" ca="1" si="12"/>
        <v/>
      </c>
      <c r="BF49" s="7" t="str">
        <f t="shared" ca="1" si="13"/>
        <v/>
      </c>
    </row>
    <row r="50" spans="1:58" x14ac:dyDescent="0.2">
      <c r="A50" s="3" t="s">
        <v>378</v>
      </c>
      <c r="B50" s="3">
        <v>8</v>
      </c>
      <c r="C50" s="3" t="s">
        <v>238</v>
      </c>
      <c r="D50" s="3">
        <v>2815</v>
      </c>
      <c r="E50" s="3" t="s">
        <v>379</v>
      </c>
      <c r="F50" s="3" t="s">
        <v>380</v>
      </c>
      <c r="G50" s="3" t="s">
        <v>381</v>
      </c>
      <c r="H50" s="4" t="s">
        <v>186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 t="s">
        <v>187</v>
      </c>
      <c r="W50" s="5"/>
      <c r="X50" s="5"/>
      <c r="Y50" s="5"/>
      <c r="Z50" s="5" t="s">
        <v>101</v>
      </c>
      <c r="AA50" s="5" t="s">
        <v>101</v>
      </c>
      <c r="AB50" s="5"/>
      <c r="AC50" s="5"/>
      <c r="AD50" s="5"/>
      <c r="AE50" s="5"/>
      <c r="AF50" s="5" t="s">
        <v>101</v>
      </c>
      <c r="AG50" s="5" t="s">
        <v>101</v>
      </c>
      <c r="AH50" s="5" t="s">
        <v>101</v>
      </c>
      <c r="AI50" s="5" t="s">
        <v>101</v>
      </c>
      <c r="AJ50" s="5" t="s">
        <v>101</v>
      </c>
      <c r="AK50" s="5" t="s">
        <v>101</v>
      </c>
      <c r="AL50" s="5" t="s">
        <v>101</v>
      </c>
      <c r="AM50" s="5" t="s">
        <v>101</v>
      </c>
      <c r="AN50" s="5"/>
      <c r="AO50" s="5" t="s">
        <v>188</v>
      </c>
      <c r="AP50" s="5" t="s">
        <v>101</v>
      </c>
      <c r="AQ50" s="5"/>
      <c r="AR50" s="5"/>
      <c r="AS50" s="5"/>
      <c r="AT50" s="5" t="s">
        <v>101</v>
      </c>
      <c r="AU50" s="5"/>
      <c r="AV50" s="5" t="s">
        <v>101</v>
      </c>
      <c r="AW50" s="5"/>
      <c r="AX50" s="5"/>
      <c r="AY50" s="5"/>
      <c r="AZ50" s="6" t="str">
        <f t="shared" si="7"/>
        <v>Missing</v>
      </c>
      <c r="BA50" s="7" t="str">
        <f t="shared" ca="1" si="8"/>
        <v>Missing</v>
      </c>
      <c r="BB50" s="7" t="str">
        <f t="shared" si="9"/>
        <v>Missing</v>
      </c>
      <c r="BC50" s="7" t="str">
        <f t="shared" si="10"/>
        <v>OK</v>
      </c>
      <c r="BD50" s="7" t="str">
        <f t="shared" si="11"/>
        <v>Clear</v>
      </c>
      <c r="BE50" s="7" t="str">
        <f t="shared" ca="1" si="12"/>
        <v/>
      </c>
      <c r="BF50" s="7" t="str">
        <f t="shared" ca="1" si="13"/>
        <v/>
      </c>
    </row>
    <row r="51" spans="1:58" x14ac:dyDescent="0.2">
      <c r="A51" s="3" t="s">
        <v>382</v>
      </c>
      <c r="B51" s="3">
        <v>9</v>
      </c>
      <c r="C51" s="3" t="s">
        <v>238</v>
      </c>
      <c r="D51" s="3">
        <v>2819</v>
      </c>
      <c r="E51" s="3" t="s">
        <v>383</v>
      </c>
      <c r="F51" s="3" t="s">
        <v>384</v>
      </c>
      <c r="G51" s="3" t="s">
        <v>385</v>
      </c>
      <c r="H51" s="4" t="s">
        <v>186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 t="s">
        <v>187</v>
      </c>
      <c r="W51" s="5"/>
      <c r="X51" s="5"/>
      <c r="Y51" s="5"/>
      <c r="Z51" s="5" t="s">
        <v>101</v>
      </c>
      <c r="AA51" s="5" t="s">
        <v>101</v>
      </c>
      <c r="AB51" s="5"/>
      <c r="AC51" s="5"/>
      <c r="AD51" s="5"/>
      <c r="AE51" s="5"/>
      <c r="AF51" s="5" t="s">
        <v>101</v>
      </c>
      <c r="AG51" s="5" t="s">
        <v>101</v>
      </c>
      <c r="AH51" s="5" t="s">
        <v>101</v>
      </c>
      <c r="AI51" s="5" t="s">
        <v>101</v>
      </c>
      <c r="AJ51" s="5" t="s">
        <v>101</v>
      </c>
      <c r="AK51" s="5" t="s">
        <v>101</v>
      </c>
      <c r="AL51" s="5" t="s">
        <v>101</v>
      </c>
      <c r="AM51" s="5" t="s">
        <v>101</v>
      </c>
      <c r="AN51" s="5"/>
      <c r="AO51" s="5" t="s">
        <v>188</v>
      </c>
      <c r="AP51" s="5" t="s">
        <v>101</v>
      </c>
      <c r="AQ51" s="5"/>
      <c r="AR51" s="5"/>
      <c r="AS51" s="5"/>
      <c r="AT51" s="5" t="s">
        <v>101</v>
      </c>
      <c r="AU51" s="5"/>
      <c r="AV51" s="5" t="s">
        <v>101</v>
      </c>
      <c r="AW51" s="5"/>
      <c r="AX51" s="5"/>
      <c r="AY51" s="5"/>
      <c r="AZ51" s="6" t="str">
        <f t="shared" si="7"/>
        <v>Missing</v>
      </c>
      <c r="BA51" s="7" t="str">
        <f t="shared" ca="1" si="8"/>
        <v>Missing</v>
      </c>
      <c r="BB51" s="7" t="str">
        <f t="shared" si="9"/>
        <v>Missing</v>
      </c>
      <c r="BC51" s="7" t="str">
        <f t="shared" si="10"/>
        <v>OK</v>
      </c>
      <c r="BD51" s="7" t="str">
        <f t="shared" si="11"/>
        <v>Clear</v>
      </c>
      <c r="BE51" s="7" t="str">
        <f t="shared" ca="1" si="12"/>
        <v/>
      </c>
      <c r="BF51" s="7" t="str">
        <f t="shared" ca="1" si="13"/>
        <v/>
      </c>
    </row>
    <row r="52" spans="1:58" x14ac:dyDescent="0.2">
      <c r="A52" s="3" t="s">
        <v>386</v>
      </c>
      <c r="B52" s="3">
        <v>9</v>
      </c>
      <c r="C52" s="3" t="s">
        <v>238</v>
      </c>
      <c r="D52" s="3">
        <v>2821</v>
      </c>
      <c r="E52" s="3" t="s">
        <v>387</v>
      </c>
      <c r="F52" s="3" t="s">
        <v>388</v>
      </c>
      <c r="G52" s="3" t="s">
        <v>389</v>
      </c>
      <c r="H52" s="4" t="s">
        <v>186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 t="s">
        <v>187</v>
      </c>
      <c r="W52" s="5"/>
      <c r="X52" s="5"/>
      <c r="Y52" s="5"/>
      <c r="Z52" s="5" t="s">
        <v>101</v>
      </c>
      <c r="AA52" s="5" t="s">
        <v>101</v>
      </c>
      <c r="AB52" s="5"/>
      <c r="AC52" s="5"/>
      <c r="AD52" s="5"/>
      <c r="AE52" s="5"/>
      <c r="AF52" s="5" t="s">
        <v>101</v>
      </c>
      <c r="AG52" s="5" t="s">
        <v>101</v>
      </c>
      <c r="AH52" s="5" t="s">
        <v>101</v>
      </c>
      <c r="AI52" s="5" t="s">
        <v>101</v>
      </c>
      <c r="AJ52" s="5" t="s">
        <v>101</v>
      </c>
      <c r="AK52" s="5" t="s">
        <v>101</v>
      </c>
      <c r="AL52" s="5" t="s">
        <v>101</v>
      </c>
      <c r="AM52" s="5" t="s">
        <v>101</v>
      </c>
      <c r="AN52" s="5"/>
      <c r="AO52" s="5" t="s">
        <v>188</v>
      </c>
      <c r="AP52" s="5" t="s">
        <v>101</v>
      </c>
      <c r="AQ52" s="5"/>
      <c r="AR52" s="5"/>
      <c r="AS52" s="5"/>
      <c r="AT52" s="5" t="s">
        <v>101</v>
      </c>
      <c r="AU52" s="5"/>
      <c r="AV52" s="5" t="s">
        <v>101</v>
      </c>
      <c r="AW52" s="5"/>
      <c r="AX52" s="5"/>
      <c r="AY52" s="5"/>
      <c r="AZ52" s="6" t="str">
        <f t="shared" si="7"/>
        <v>Missing</v>
      </c>
      <c r="BA52" s="7" t="str">
        <f t="shared" ca="1" si="8"/>
        <v>Missing</v>
      </c>
      <c r="BB52" s="7" t="str">
        <f t="shared" si="9"/>
        <v>Missing</v>
      </c>
      <c r="BC52" s="7" t="str">
        <f t="shared" si="10"/>
        <v>OK</v>
      </c>
      <c r="BD52" s="7" t="str">
        <f t="shared" si="11"/>
        <v>Clear</v>
      </c>
      <c r="BE52" s="7" t="str">
        <f t="shared" ca="1" si="12"/>
        <v/>
      </c>
      <c r="BF52" s="7" t="str">
        <f t="shared" ca="1" si="13"/>
        <v/>
      </c>
    </row>
    <row r="53" spans="1:58" x14ac:dyDescent="0.2">
      <c r="A53" s="3" t="s">
        <v>390</v>
      </c>
      <c r="B53" s="3">
        <v>9</v>
      </c>
      <c r="C53" s="3" t="s">
        <v>238</v>
      </c>
      <c r="D53" s="3">
        <v>2823</v>
      </c>
      <c r="E53" s="3" t="s">
        <v>391</v>
      </c>
      <c r="F53" s="3" t="s">
        <v>392</v>
      </c>
      <c r="G53" s="3" t="s">
        <v>393</v>
      </c>
      <c r="H53" s="4" t="s">
        <v>186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 t="s">
        <v>187</v>
      </c>
      <c r="W53" s="5"/>
      <c r="X53" s="5"/>
      <c r="Y53" s="5"/>
      <c r="Z53" s="5" t="s">
        <v>101</v>
      </c>
      <c r="AA53" s="5" t="s">
        <v>101</v>
      </c>
      <c r="AB53" s="5"/>
      <c r="AC53" s="5"/>
      <c r="AD53" s="5"/>
      <c r="AE53" s="5"/>
      <c r="AF53" s="5" t="s">
        <v>101</v>
      </c>
      <c r="AG53" s="5" t="s">
        <v>101</v>
      </c>
      <c r="AH53" s="5" t="s">
        <v>101</v>
      </c>
      <c r="AI53" s="5" t="s">
        <v>101</v>
      </c>
      <c r="AJ53" s="5" t="s">
        <v>101</v>
      </c>
      <c r="AK53" s="5" t="s">
        <v>101</v>
      </c>
      <c r="AL53" s="5" t="s">
        <v>101</v>
      </c>
      <c r="AM53" s="5" t="s">
        <v>101</v>
      </c>
      <c r="AN53" s="5"/>
      <c r="AO53" s="5" t="s">
        <v>188</v>
      </c>
      <c r="AP53" s="5" t="s">
        <v>101</v>
      </c>
      <c r="AQ53" s="5"/>
      <c r="AR53" s="5"/>
      <c r="AS53" s="5"/>
      <c r="AT53" s="5" t="s">
        <v>101</v>
      </c>
      <c r="AU53" s="5"/>
      <c r="AV53" s="5" t="s">
        <v>101</v>
      </c>
      <c r="AW53" s="5"/>
      <c r="AX53" s="5"/>
      <c r="AY53" s="5"/>
      <c r="AZ53" s="6" t="str">
        <f t="shared" si="7"/>
        <v>Missing</v>
      </c>
      <c r="BA53" s="7" t="str">
        <f t="shared" ca="1" si="8"/>
        <v>Missing</v>
      </c>
      <c r="BB53" s="7" t="str">
        <f t="shared" si="9"/>
        <v>Missing</v>
      </c>
      <c r="BC53" s="7" t="str">
        <f t="shared" si="10"/>
        <v>OK</v>
      </c>
      <c r="BD53" s="7" t="str">
        <f t="shared" si="11"/>
        <v>Clear</v>
      </c>
      <c r="BE53" s="7" t="str">
        <f t="shared" ca="1" si="12"/>
        <v/>
      </c>
      <c r="BF53" s="7" t="str">
        <f t="shared" ca="1" si="13"/>
        <v/>
      </c>
    </row>
    <row r="54" spans="1:58" x14ac:dyDescent="0.2">
      <c r="A54" s="3" t="s">
        <v>394</v>
      </c>
      <c r="B54" s="3">
        <v>9</v>
      </c>
      <c r="C54" s="3" t="s">
        <v>238</v>
      </c>
      <c r="D54" s="3">
        <v>2825</v>
      </c>
      <c r="E54" s="3" t="s">
        <v>395</v>
      </c>
      <c r="F54" s="3" t="s">
        <v>396</v>
      </c>
      <c r="G54" s="3" t="s">
        <v>397</v>
      </c>
      <c r="H54" s="4" t="s">
        <v>186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 t="s">
        <v>187</v>
      </c>
      <c r="W54" s="5"/>
      <c r="X54" s="5"/>
      <c r="Y54" s="5"/>
      <c r="Z54" s="5" t="s">
        <v>101</v>
      </c>
      <c r="AA54" s="5" t="s">
        <v>101</v>
      </c>
      <c r="AB54" s="5"/>
      <c r="AC54" s="5"/>
      <c r="AD54" s="5"/>
      <c r="AE54" s="5"/>
      <c r="AF54" s="5" t="s">
        <v>101</v>
      </c>
      <c r="AG54" s="5" t="s">
        <v>101</v>
      </c>
      <c r="AH54" s="5" t="s">
        <v>101</v>
      </c>
      <c r="AI54" s="5" t="s">
        <v>101</v>
      </c>
      <c r="AJ54" s="5" t="s">
        <v>101</v>
      </c>
      <c r="AK54" s="5" t="s">
        <v>101</v>
      </c>
      <c r="AL54" s="5" t="s">
        <v>101</v>
      </c>
      <c r="AM54" s="5" t="s">
        <v>101</v>
      </c>
      <c r="AN54" s="5"/>
      <c r="AO54" s="5" t="s">
        <v>188</v>
      </c>
      <c r="AP54" s="5" t="s">
        <v>101</v>
      </c>
      <c r="AQ54" s="5"/>
      <c r="AR54" s="5"/>
      <c r="AS54" s="5"/>
      <c r="AT54" s="5" t="s">
        <v>101</v>
      </c>
      <c r="AU54" s="5"/>
      <c r="AV54" s="5" t="s">
        <v>101</v>
      </c>
      <c r="AW54" s="5"/>
      <c r="AX54" s="5"/>
      <c r="AY54" s="5"/>
      <c r="AZ54" s="6" t="str">
        <f t="shared" si="7"/>
        <v>Missing</v>
      </c>
      <c r="BA54" s="7" t="str">
        <f t="shared" ca="1" si="8"/>
        <v>Missing</v>
      </c>
      <c r="BB54" s="7" t="str">
        <f t="shared" si="9"/>
        <v>Missing</v>
      </c>
      <c r="BC54" s="7" t="str">
        <f t="shared" si="10"/>
        <v>OK</v>
      </c>
      <c r="BD54" s="7" t="str">
        <f t="shared" si="11"/>
        <v>Clear</v>
      </c>
      <c r="BE54" s="7" t="str">
        <f t="shared" ca="1" si="12"/>
        <v/>
      </c>
      <c r="BF54" s="7" t="str">
        <f t="shared" ca="1" si="13"/>
        <v/>
      </c>
    </row>
    <row r="55" spans="1:58" x14ac:dyDescent="0.2">
      <c r="A55" s="3" t="s">
        <v>398</v>
      </c>
      <c r="B55" s="3">
        <v>9</v>
      </c>
      <c r="C55" s="3" t="s">
        <v>238</v>
      </c>
      <c r="D55" s="3">
        <v>2827</v>
      </c>
      <c r="E55" s="3" t="s">
        <v>399</v>
      </c>
      <c r="F55" s="3" t="s">
        <v>400</v>
      </c>
      <c r="G55" s="3" t="s">
        <v>401</v>
      </c>
      <c r="H55" s="4" t="s">
        <v>186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 t="s">
        <v>187</v>
      </c>
      <c r="W55" s="5"/>
      <c r="X55" s="5"/>
      <c r="Y55" s="5"/>
      <c r="Z55" s="5" t="s">
        <v>101</v>
      </c>
      <c r="AA55" s="5" t="s">
        <v>101</v>
      </c>
      <c r="AB55" s="5"/>
      <c r="AC55" s="5"/>
      <c r="AD55" s="5"/>
      <c r="AE55" s="5"/>
      <c r="AF55" s="5" t="s">
        <v>101</v>
      </c>
      <c r="AG55" s="5" t="s">
        <v>101</v>
      </c>
      <c r="AH55" s="5" t="s">
        <v>101</v>
      </c>
      <c r="AI55" s="5" t="s">
        <v>101</v>
      </c>
      <c r="AJ55" s="5" t="s">
        <v>101</v>
      </c>
      <c r="AK55" s="5" t="s">
        <v>101</v>
      </c>
      <c r="AL55" s="5" t="s">
        <v>101</v>
      </c>
      <c r="AM55" s="5" t="s">
        <v>101</v>
      </c>
      <c r="AN55" s="5"/>
      <c r="AO55" s="5" t="s">
        <v>188</v>
      </c>
      <c r="AP55" s="5" t="s">
        <v>101</v>
      </c>
      <c r="AQ55" s="5"/>
      <c r="AR55" s="5"/>
      <c r="AS55" s="5"/>
      <c r="AT55" s="5" t="s">
        <v>101</v>
      </c>
      <c r="AU55" s="5"/>
      <c r="AV55" s="5" t="s">
        <v>101</v>
      </c>
      <c r="AW55" s="5"/>
      <c r="AX55" s="5"/>
      <c r="AY55" s="5"/>
      <c r="AZ55" s="6" t="str">
        <f t="shared" si="7"/>
        <v>Missing</v>
      </c>
      <c r="BA55" s="7" t="str">
        <f t="shared" ca="1" si="8"/>
        <v>Missing</v>
      </c>
      <c r="BB55" s="7" t="str">
        <f t="shared" si="9"/>
        <v>Missing</v>
      </c>
      <c r="BC55" s="7" t="str">
        <f t="shared" si="10"/>
        <v>OK</v>
      </c>
      <c r="BD55" s="7" t="str">
        <f t="shared" si="11"/>
        <v>Clear</v>
      </c>
      <c r="BE55" s="7" t="str">
        <f t="shared" ca="1" si="12"/>
        <v/>
      </c>
      <c r="BF55" s="7" t="str">
        <f t="shared" ca="1" si="13"/>
        <v/>
      </c>
    </row>
    <row r="56" spans="1:58" x14ac:dyDescent="0.2">
      <c r="A56" s="3" t="s">
        <v>402</v>
      </c>
      <c r="B56" s="3">
        <v>9</v>
      </c>
      <c r="C56" s="3" t="s">
        <v>238</v>
      </c>
      <c r="D56" s="3">
        <v>2829</v>
      </c>
      <c r="E56" s="3" t="s">
        <v>403</v>
      </c>
      <c r="F56" s="3" t="s">
        <v>404</v>
      </c>
      <c r="G56" s="3" t="s">
        <v>405</v>
      </c>
      <c r="H56" s="4" t="s">
        <v>186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 t="s">
        <v>187</v>
      </c>
      <c r="W56" s="5"/>
      <c r="X56" s="5"/>
      <c r="Y56" s="5"/>
      <c r="Z56" s="5" t="s">
        <v>101</v>
      </c>
      <c r="AA56" s="5" t="s">
        <v>101</v>
      </c>
      <c r="AB56" s="5"/>
      <c r="AC56" s="5"/>
      <c r="AD56" s="5"/>
      <c r="AE56" s="5"/>
      <c r="AF56" s="5" t="s">
        <v>101</v>
      </c>
      <c r="AG56" s="5" t="s">
        <v>101</v>
      </c>
      <c r="AH56" s="5" t="s">
        <v>101</v>
      </c>
      <c r="AI56" s="5" t="s">
        <v>101</v>
      </c>
      <c r="AJ56" s="5" t="s">
        <v>101</v>
      </c>
      <c r="AK56" s="5" t="s">
        <v>101</v>
      </c>
      <c r="AL56" s="5" t="s">
        <v>101</v>
      </c>
      <c r="AM56" s="5" t="s">
        <v>101</v>
      </c>
      <c r="AN56" s="5"/>
      <c r="AO56" s="5" t="s">
        <v>188</v>
      </c>
      <c r="AP56" s="5" t="s">
        <v>101</v>
      </c>
      <c r="AQ56" s="5"/>
      <c r="AR56" s="5"/>
      <c r="AS56" s="5"/>
      <c r="AT56" s="5" t="s">
        <v>101</v>
      </c>
      <c r="AU56" s="5"/>
      <c r="AV56" s="5" t="s">
        <v>101</v>
      </c>
      <c r="AW56" s="5"/>
      <c r="AX56" s="5"/>
      <c r="AY56" s="5"/>
      <c r="AZ56" s="6" t="str">
        <f t="shared" si="7"/>
        <v>Missing</v>
      </c>
      <c r="BA56" s="7" t="str">
        <f t="shared" ca="1" si="8"/>
        <v>Missing</v>
      </c>
      <c r="BB56" s="7" t="str">
        <f t="shared" si="9"/>
        <v>Missing</v>
      </c>
      <c r="BC56" s="7" t="str">
        <f t="shared" si="10"/>
        <v>OK</v>
      </c>
      <c r="BD56" s="7" t="str">
        <f t="shared" si="11"/>
        <v>Clear</v>
      </c>
      <c r="BE56" s="7" t="str">
        <f t="shared" ca="1" si="12"/>
        <v/>
      </c>
      <c r="BF56" s="7" t="str">
        <f t="shared" ca="1" si="13"/>
        <v/>
      </c>
    </row>
    <row r="57" spans="1:58" x14ac:dyDescent="0.2">
      <c r="A57" s="3" t="s">
        <v>406</v>
      </c>
      <c r="B57" s="3">
        <v>10</v>
      </c>
      <c r="C57" s="3" t="s">
        <v>238</v>
      </c>
      <c r="D57" s="3">
        <v>2911</v>
      </c>
      <c r="E57" s="3" t="s">
        <v>407</v>
      </c>
      <c r="F57" s="3" t="s">
        <v>408</v>
      </c>
      <c r="G57" s="3" t="s">
        <v>409</v>
      </c>
      <c r="H57" s="4" t="s">
        <v>186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 t="s">
        <v>187</v>
      </c>
      <c r="W57" s="5"/>
      <c r="X57" s="5"/>
      <c r="Y57" s="5"/>
      <c r="Z57" s="5" t="s">
        <v>101</v>
      </c>
      <c r="AA57" s="5" t="s">
        <v>101</v>
      </c>
      <c r="AB57" s="5"/>
      <c r="AC57" s="5"/>
      <c r="AD57" s="5"/>
      <c r="AE57" s="5"/>
      <c r="AF57" s="5" t="s">
        <v>101</v>
      </c>
      <c r="AG57" s="5" t="s">
        <v>101</v>
      </c>
      <c r="AH57" s="5" t="s">
        <v>101</v>
      </c>
      <c r="AI57" s="5" t="s">
        <v>101</v>
      </c>
      <c r="AJ57" s="5" t="s">
        <v>101</v>
      </c>
      <c r="AK57" s="5" t="s">
        <v>101</v>
      </c>
      <c r="AL57" s="5" t="s">
        <v>101</v>
      </c>
      <c r="AM57" s="5" t="s">
        <v>101</v>
      </c>
      <c r="AN57" s="5"/>
      <c r="AO57" s="5" t="s">
        <v>188</v>
      </c>
      <c r="AP57" s="5" t="s">
        <v>101</v>
      </c>
      <c r="AQ57" s="5"/>
      <c r="AR57" s="5"/>
      <c r="AS57" s="5"/>
      <c r="AT57" s="5" t="s">
        <v>101</v>
      </c>
      <c r="AU57" s="5"/>
      <c r="AV57" s="5" t="s">
        <v>101</v>
      </c>
      <c r="AW57" s="5"/>
      <c r="AX57" s="5"/>
      <c r="AY57" s="5"/>
      <c r="AZ57" s="6" t="str">
        <f t="shared" si="7"/>
        <v>Missing</v>
      </c>
      <c r="BA57" s="7" t="str">
        <f t="shared" ca="1" si="8"/>
        <v>Missing</v>
      </c>
      <c r="BB57" s="7" t="str">
        <f t="shared" si="9"/>
        <v>Missing</v>
      </c>
      <c r="BC57" s="7" t="str">
        <f t="shared" si="10"/>
        <v>OK</v>
      </c>
      <c r="BD57" s="7" t="str">
        <f t="shared" si="11"/>
        <v>Clear</v>
      </c>
      <c r="BE57" s="7" t="str">
        <f t="shared" ca="1" si="12"/>
        <v/>
      </c>
      <c r="BF57" s="7" t="str">
        <f t="shared" ca="1" si="13"/>
        <v/>
      </c>
    </row>
    <row r="58" spans="1:58" x14ac:dyDescent="0.2">
      <c r="A58" s="3" t="s">
        <v>410</v>
      </c>
      <c r="B58" s="3">
        <v>10</v>
      </c>
      <c r="C58" s="3" t="s">
        <v>238</v>
      </c>
      <c r="D58" s="3">
        <v>2913</v>
      </c>
      <c r="E58" s="3" t="s">
        <v>411</v>
      </c>
      <c r="F58" s="3" t="s">
        <v>412</v>
      </c>
      <c r="G58" s="3" t="s">
        <v>413</v>
      </c>
      <c r="H58" s="4" t="s">
        <v>186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 t="s">
        <v>187</v>
      </c>
      <c r="W58" s="5"/>
      <c r="X58" s="5"/>
      <c r="Y58" s="5"/>
      <c r="Z58" s="5" t="s">
        <v>101</v>
      </c>
      <c r="AA58" s="5" t="s">
        <v>101</v>
      </c>
      <c r="AB58" s="5"/>
      <c r="AC58" s="5"/>
      <c r="AD58" s="5"/>
      <c r="AE58" s="5"/>
      <c r="AF58" s="5" t="s">
        <v>101</v>
      </c>
      <c r="AG58" s="5" t="s">
        <v>101</v>
      </c>
      <c r="AH58" s="5" t="s">
        <v>101</v>
      </c>
      <c r="AI58" s="5" t="s">
        <v>101</v>
      </c>
      <c r="AJ58" s="5" t="s">
        <v>101</v>
      </c>
      <c r="AK58" s="5" t="s">
        <v>101</v>
      </c>
      <c r="AL58" s="5" t="s">
        <v>101</v>
      </c>
      <c r="AM58" s="5" t="s">
        <v>101</v>
      </c>
      <c r="AN58" s="5"/>
      <c r="AO58" s="5" t="s">
        <v>188</v>
      </c>
      <c r="AP58" s="5" t="s">
        <v>101</v>
      </c>
      <c r="AQ58" s="5"/>
      <c r="AR58" s="5"/>
      <c r="AS58" s="5"/>
      <c r="AT58" s="5" t="s">
        <v>101</v>
      </c>
      <c r="AU58" s="5"/>
      <c r="AV58" s="5" t="s">
        <v>101</v>
      </c>
      <c r="AW58" s="5"/>
      <c r="AX58" s="5"/>
      <c r="AY58" s="5"/>
      <c r="AZ58" s="6" t="str">
        <f t="shared" si="7"/>
        <v>Missing</v>
      </c>
      <c r="BA58" s="7" t="str">
        <f t="shared" ca="1" si="8"/>
        <v>Missing</v>
      </c>
      <c r="BB58" s="7" t="str">
        <f t="shared" si="9"/>
        <v>Missing</v>
      </c>
      <c r="BC58" s="7" t="str">
        <f t="shared" si="10"/>
        <v>OK</v>
      </c>
      <c r="BD58" s="7" t="str">
        <f t="shared" si="11"/>
        <v>Clear</v>
      </c>
      <c r="BE58" s="7" t="str">
        <f t="shared" ca="1" si="12"/>
        <v/>
      </c>
      <c r="BF58" s="7" t="str">
        <f t="shared" ca="1" si="13"/>
        <v/>
      </c>
    </row>
    <row r="59" spans="1:58" x14ac:dyDescent="0.2">
      <c r="A59" s="3" t="s">
        <v>414</v>
      </c>
      <c r="B59" s="3">
        <v>10</v>
      </c>
      <c r="C59" s="3" t="s">
        <v>238</v>
      </c>
      <c r="D59" s="3">
        <v>2915</v>
      </c>
      <c r="E59" s="3" t="s">
        <v>415</v>
      </c>
      <c r="F59" s="3" t="s">
        <v>416</v>
      </c>
      <c r="G59" s="3" t="s">
        <v>417</v>
      </c>
      <c r="H59" s="4" t="s">
        <v>186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 t="s">
        <v>187</v>
      </c>
      <c r="W59" s="5"/>
      <c r="X59" s="5"/>
      <c r="Y59" s="5"/>
      <c r="Z59" s="5" t="s">
        <v>101</v>
      </c>
      <c r="AA59" s="5" t="s">
        <v>101</v>
      </c>
      <c r="AB59" s="5"/>
      <c r="AC59" s="5"/>
      <c r="AD59" s="5"/>
      <c r="AE59" s="5"/>
      <c r="AF59" s="5" t="s">
        <v>101</v>
      </c>
      <c r="AG59" s="5" t="s">
        <v>101</v>
      </c>
      <c r="AH59" s="5" t="s">
        <v>101</v>
      </c>
      <c r="AI59" s="5" t="s">
        <v>101</v>
      </c>
      <c r="AJ59" s="5" t="s">
        <v>101</v>
      </c>
      <c r="AK59" s="5" t="s">
        <v>101</v>
      </c>
      <c r="AL59" s="5" t="s">
        <v>101</v>
      </c>
      <c r="AM59" s="5" t="s">
        <v>101</v>
      </c>
      <c r="AN59" s="5"/>
      <c r="AO59" s="5" t="s">
        <v>188</v>
      </c>
      <c r="AP59" s="5" t="s">
        <v>101</v>
      </c>
      <c r="AQ59" s="5"/>
      <c r="AR59" s="5"/>
      <c r="AS59" s="5"/>
      <c r="AT59" s="5" t="s">
        <v>101</v>
      </c>
      <c r="AU59" s="5"/>
      <c r="AV59" s="5" t="s">
        <v>101</v>
      </c>
      <c r="AW59" s="5"/>
      <c r="AX59" s="5"/>
      <c r="AY59" s="5"/>
      <c r="AZ59" s="6" t="str">
        <f t="shared" si="7"/>
        <v>Missing</v>
      </c>
      <c r="BA59" s="7" t="str">
        <f t="shared" ca="1" si="8"/>
        <v>Missing</v>
      </c>
      <c r="BB59" s="7" t="str">
        <f t="shared" si="9"/>
        <v>Missing</v>
      </c>
      <c r="BC59" s="7" t="str">
        <f t="shared" si="10"/>
        <v>OK</v>
      </c>
      <c r="BD59" s="7" t="str">
        <f t="shared" si="11"/>
        <v>Clear</v>
      </c>
      <c r="BE59" s="7" t="str">
        <f t="shared" ca="1" si="12"/>
        <v/>
      </c>
      <c r="BF59" s="7" t="str">
        <f t="shared" ca="1" si="13"/>
        <v/>
      </c>
    </row>
    <row r="60" spans="1:58" x14ac:dyDescent="0.2">
      <c r="A60" s="3" t="s">
        <v>418</v>
      </c>
      <c r="B60" s="3">
        <v>10</v>
      </c>
      <c r="C60" s="3" t="s">
        <v>238</v>
      </c>
      <c r="D60" s="3">
        <v>2917</v>
      </c>
      <c r="E60" s="3" t="s">
        <v>419</v>
      </c>
      <c r="F60" s="3" t="s">
        <v>420</v>
      </c>
      <c r="G60" s="3" t="s">
        <v>421</v>
      </c>
      <c r="H60" s="4" t="s">
        <v>186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 t="s">
        <v>187</v>
      </c>
      <c r="W60" s="5"/>
      <c r="X60" s="5"/>
      <c r="Y60" s="5"/>
      <c r="Z60" s="5" t="s">
        <v>101</v>
      </c>
      <c r="AA60" s="5" t="s">
        <v>101</v>
      </c>
      <c r="AB60" s="5"/>
      <c r="AC60" s="5"/>
      <c r="AD60" s="5"/>
      <c r="AE60" s="5"/>
      <c r="AF60" s="5" t="s">
        <v>101</v>
      </c>
      <c r="AG60" s="5" t="s">
        <v>101</v>
      </c>
      <c r="AH60" s="5" t="s">
        <v>101</v>
      </c>
      <c r="AI60" s="5" t="s">
        <v>101</v>
      </c>
      <c r="AJ60" s="5" t="s">
        <v>101</v>
      </c>
      <c r="AK60" s="5" t="s">
        <v>101</v>
      </c>
      <c r="AL60" s="5" t="s">
        <v>101</v>
      </c>
      <c r="AM60" s="5" t="s">
        <v>101</v>
      </c>
      <c r="AN60" s="5"/>
      <c r="AO60" s="5" t="s">
        <v>188</v>
      </c>
      <c r="AP60" s="5" t="s">
        <v>101</v>
      </c>
      <c r="AQ60" s="5"/>
      <c r="AR60" s="5"/>
      <c r="AS60" s="5"/>
      <c r="AT60" s="5" t="s">
        <v>101</v>
      </c>
      <c r="AU60" s="5"/>
      <c r="AV60" s="5" t="s">
        <v>101</v>
      </c>
      <c r="AW60" s="5"/>
      <c r="AX60" s="5"/>
      <c r="AY60" s="5"/>
      <c r="AZ60" s="6" t="str">
        <f t="shared" si="7"/>
        <v>Missing</v>
      </c>
      <c r="BA60" s="7" t="str">
        <f t="shared" ca="1" si="8"/>
        <v>Missing</v>
      </c>
      <c r="BB60" s="7" t="str">
        <f t="shared" si="9"/>
        <v>Missing</v>
      </c>
      <c r="BC60" s="7" t="str">
        <f t="shared" si="10"/>
        <v>OK</v>
      </c>
      <c r="BD60" s="7" t="str">
        <f t="shared" si="11"/>
        <v>Clear</v>
      </c>
      <c r="BE60" s="7" t="str">
        <f t="shared" ca="1" si="12"/>
        <v/>
      </c>
      <c r="BF60" s="7" t="str">
        <f t="shared" ca="1" si="13"/>
        <v/>
      </c>
    </row>
    <row r="61" spans="1:58" x14ac:dyDescent="0.2">
      <c r="A61" s="3" t="s">
        <v>422</v>
      </c>
      <c r="B61" s="3">
        <v>10</v>
      </c>
      <c r="C61" s="3" t="s">
        <v>238</v>
      </c>
      <c r="D61" s="3">
        <v>2919</v>
      </c>
      <c r="E61" s="3" t="s">
        <v>423</v>
      </c>
      <c r="F61" s="3" t="s">
        <v>424</v>
      </c>
      <c r="G61" s="3" t="s">
        <v>425</v>
      </c>
      <c r="H61" s="4" t="s">
        <v>186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 t="s">
        <v>187</v>
      </c>
      <c r="W61" s="5"/>
      <c r="X61" s="5"/>
      <c r="Y61" s="5"/>
      <c r="Z61" s="5" t="s">
        <v>101</v>
      </c>
      <c r="AA61" s="5" t="s">
        <v>101</v>
      </c>
      <c r="AB61" s="5"/>
      <c r="AC61" s="5"/>
      <c r="AD61" s="5"/>
      <c r="AE61" s="5"/>
      <c r="AF61" s="5" t="s">
        <v>101</v>
      </c>
      <c r="AG61" s="5" t="s">
        <v>101</v>
      </c>
      <c r="AH61" s="5" t="s">
        <v>101</v>
      </c>
      <c r="AI61" s="5" t="s">
        <v>101</v>
      </c>
      <c r="AJ61" s="5" t="s">
        <v>101</v>
      </c>
      <c r="AK61" s="5" t="s">
        <v>101</v>
      </c>
      <c r="AL61" s="5" t="s">
        <v>101</v>
      </c>
      <c r="AM61" s="5" t="s">
        <v>101</v>
      </c>
      <c r="AN61" s="5"/>
      <c r="AO61" s="5" t="s">
        <v>188</v>
      </c>
      <c r="AP61" s="5" t="s">
        <v>101</v>
      </c>
      <c r="AQ61" s="5"/>
      <c r="AR61" s="5"/>
      <c r="AS61" s="5"/>
      <c r="AT61" s="5" t="s">
        <v>101</v>
      </c>
      <c r="AU61" s="5"/>
      <c r="AV61" s="5" t="s">
        <v>101</v>
      </c>
      <c r="AW61" s="5"/>
      <c r="AX61" s="5"/>
      <c r="AY61" s="5"/>
      <c r="AZ61" s="6" t="str">
        <f t="shared" si="7"/>
        <v>Missing</v>
      </c>
      <c r="BA61" s="7" t="str">
        <f t="shared" ca="1" si="8"/>
        <v>Missing</v>
      </c>
      <c r="BB61" s="7" t="str">
        <f t="shared" si="9"/>
        <v>Missing</v>
      </c>
      <c r="BC61" s="7" t="str">
        <f t="shared" si="10"/>
        <v>OK</v>
      </c>
      <c r="BD61" s="7" t="str">
        <f t="shared" si="11"/>
        <v>Clear</v>
      </c>
      <c r="BE61" s="7" t="str">
        <f t="shared" ca="1" si="12"/>
        <v/>
      </c>
      <c r="BF61" s="7" t="str">
        <f t="shared" ca="1" si="13"/>
        <v/>
      </c>
    </row>
    <row r="62" spans="1:58" x14ac:dyDescent="0.2">
      <c r="A62" s="3" t="s">
        <v>426</v>
      </c>
      <c r="B62" s="3">
        <v>11</v>
      </c>
      <c r="C62" s="3" t="s">
        <v>238</v>
      </c>
      <c r="D62" s="3">
        <v>2921</v>
      </c>
      <c r="E62" s="3" t="s">
        <v>427</v>
      </c>
      <c r="F62" s="3" t="s">
        <v>428</v>
      </c>
      <c r="G62" s="3" t="s">
        <v>429</v>
      </c>
      <c r="H62" s="4" t="s">
        <v>186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 t="s">
        <v>187</v>
      </c>
      <c r="W62" s="5"/>
      <c r="X62" s="5"/>
      <c r="Y62" s="5"/>
      <c r="Z62" s="5" t="s">
        <v>101</v>
      </c>
      <c r="AA62" s="5" t="s">
        <v>101</v>
      </c>
      <c r="AB62" s="5"/>
      <c r="AC62" s="5"/>
      <c r="AD62" s="5"/>
      <c r="AE62" s="5"/>
      <c r="AF62" s="5" t="s">
        <v>101</v>
      </c>
      <c r="AG62" s="5" t="s">
        <v>101</v>
      </c>
      <c r="AH62" s="5" t="s">
        <v>101</v>
      </c>
      <c r="AI62" s="5" t="s">
        <v>101</v>
      </c>
      <c r="AJ62" s="5" t="s">
        <v>101</v>
      </c>
      <c r="AK62" s="5" t="s">
        <v>101</v>
      </c>
      <c r="AL62" s="5" t="s">
        <v>101</v>
      </c>
      <c r="AM62" s="5" t="s">
        <v>101</v>
      </c>
      <c r="AN62" s="5"/>
      <c r="AO62" s="5" t="s">
        <v>188</v>
      </c>
      <c r="AP62" s="5" t="s">
        <v>101</v>
      </c>
      <c r="AQ62" s="5"/>
      <c r="AR62" s="5"/>
      <c r="AS62" s="5"/>
      <c r="AT62" s="5" t="s">
        <v>101</v>
      </c>
      <c r="AU62" s="5"/>
      <c r="AV62" s="5" t="s">
        <v>101</v>
      </c>
      <c r="AW62" s="5"/>
      <c r="AX62" s="5"/>
      <c r="AY62" s="5"/>
      <c r="AZ62" s="6" t="str">
        <f t="shared" si="7"/>
        <v>Missing</v>
      </c>
      <c r="BA62" s="7" t="str">
        <f t="shared" ca="1" si="8"/>
        <v>Missing</v>
      </c>
      <c r="BB62" s="7" t="str">
        <f t="shared" si="9"/>
        <v>Missing</v>
      </c>
      <c r="BC62" s="7" t="str">
        <f t="shared" si="10"/>
        <v>OK</v>
      </c>
      <c r="BD62" s="7" t="str">
        <f t="shared" si="11"/>
        <v>Clear</v>
      </c>
      <c r="BE62" s="7" t="str">
        <f t="shared" ca="1" si="12"/>
        <v/>
      </c>
      <c r="BF62" s="7" t="str">
        <f t="shared" ca="1" si="13"/>
        <v/>
      </c>
    </row>
    <row r="63" spans="1:58" x14ac:dyDescent="0.2">
      <c r="A63" s="3" t="s">
        <v>430</v>
      </c>
      <c r="B63" s="3">
        <v>11</v>
      </c>
      <c r="C63" s="3" t="s">
        <v>238</v>
      </c>
      <c r="D63" s="3">
        <v>2923</v>
      </c>
      <c r="E63" s="3" t="s">
        <v>431</v>
      </c>
      <c r="F63" s="3" t="s">
        <v>432</v>
      </c>
      <c r="G63" s="3" t="s">
        <v>433</v>
      </c>
      <c r="H63" s="4" t="s">
        <v>186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 t="s">
        <v>187</v>
      </c>
      <c r="W63" s="5"/>
      <c r="X63" s="5"/>
      <c r="Y63" s="5"/>
      <c r="Z63" s="5" t="s">
        <v>101</v>
      </c>
      <c r="AA63" s="5" t="s">
        <v>101</v>
      </c>
      <c r="AB63" s="5"/>
      <c r="AC63" s="5"/>
      <c r="AD63" s="5"/>
      <c r="AE63" s="5"/>
      <c r="AF63" s="5" t="s">
        <v>101</v>
      </c>
      <c r="AG63" s="5" t="s">
        <v>101</v>
      </c>
      <c r="AH63" s="5" t="s">
        <v>101</v>
      </c>
      <c r="AI63" s="5" t="s">
        <v>101</v>
      </c>
      <c r="AJ63" s="5" t="s">
        <v>101</v>
      </c>
      <c r="AK63" s="5" t="s">
        <v>101</v>
      </c>
      <c r="AL63" s="5" t="s">
        <v>101</v>
      </c>
      <c r="AM63" s="5" t="s">
        <v>101</v>
      </c>
      <c r="AN63" s="5"/>
      <c r="AO63" s="5" t="s">
        <v>188</v>
      </c>
      <c r="AP63" s="5" t="s">
        <v>101</v>
      </c>
      <c r="AQ63" s="5"/>
      <c r="AR63" s="5"/>
      <c r="AS63" s="5"/>
      <c r="AT63" s="5" t="s">
        <v>101</v>
      </c>
      <c r="AU63" s="5"/>
      <c r="AV63" s="5" t="s">
        <v>101</v>
      </c>
      <c r="AW63" s="5"/>
      <c r="AX63" s="5"/>
      <c r="AY63" s="5"/>
      <c r="AZ63" s="6" t="str">
        <f t="shared" si="7"/>
        <v>Missing</v>
      </c>
      <c r="BA63" s="7" t="str">
        <f t="shared" ca="1" si="8"/>
        <v>Missing</v>
      </c>
      <c r="BB63" s="7" t="str">
        <f t="shared" si="9"/>
        <v>Missing</v>
      </c>
      <c r="BC63" s="7" t="str">
        <f t="shared" si="10"/>
        <v>OK</v>
      </c>
      <c r="BD63" s="7" t="str">
        <f t="shared" si="11"/>
        <v>Clear</v>
      </c>
      <c r="BE63" s="7" t="str">
        <f t="shared" ca="1" si="12"/>
        <v/>
      </c>
      <c r="BF63" s="7" t="str">
        <f t="shared" ca="1" si="13"/>
        <v/>
      </c>
    </row>
    <row r="64" spans="1:58" x14ac:dyDescent="0.2">
      <c r="A64" s="3" t="s">
        <v>434</v>
      </c>
      <c r="B64" s="3">
        <v>11</v>
      </c>
      <c r="C64" s="3" t="s">
        <v>238</v>
      </c>
      <c r="D64" s="3">
        <v>2925</v>
      </c>
      <c r="E64" s="3" t="s">
        <v>435</v>
      </c>
      <c r="F64" s="3" t="s">
        <v>436</v>
      </c>
      <c r="G64" s="3" t="s">
        <v>437</v>
      </c>
      <c r="H64" s="4" t="s">
        <v>186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 t="s">
        <v>187</v>
      </c>
      <c r="W64" s="5"/>
      <c r="X64" s="5"/>
      <c r="Y64" s="5"/>
      <c r="Z64" s="5" t="s">
        <v>101</v>
      </c>
      <c r="AA64" s="5" t="s">
        <v>101</v>
      </c>
      <c r="AB64" s="5"/>
      <c r="AC64" s="5"/>
      <c r="AD64" s="5"/>
      <c r="AE64" s="5"/>
      <c r="AF64" s="5" t="s">
        <v>101</v>
      </c>
      <c r="AG64" s="5" t="s">
        <v>101</v>
      </c>
      <c r="AH64" s="5" t="s">
        <v>101</v>
      </c>
      <c r="AI64" s="5" t="s">
        <v>101</v>
      </c>
      <c r="AJ64" s="5" t="s">
        <v>101</v>
      </c>
      <c r="AK64" s="5" t="s">
        <v>101</v>
      </c>
      <c r="AL64" s="5" t="s">
        <v>101</v>
      </c>
      <c r="AM64" s="5" t="s">
        <v>101</v>
      </c>
      <c r="AN64" s="5"/>
      <c r="AO64" s="5" t="s">
        <v>188</v>
      </c>
      <c r="AP64" s="5" t="s">
        <v>101</v>
      </c>
      <c r="AQ64" s="5"/>
      <c r="AR64" s="5"/>
      <c r="AS64" s="5"/>
      <c r="AT64" s="5" t="s">
        <v>101</v>
      </c>
      <c r="AU64" s="5"/>
      <c r="AV64" s="5" t="s">
        <v>101</v>
      </c>
      <c r="AW64" s="5"/>
      <c r="AX64" s="5"/>
      <c r="AY64" s="5"/>
      <c r="AZ64" s="6" t="str">
        <f t="shared" si="7"/>
        <v>Missing</v>
      </c>
      <c r="BA64" s="7" t="str">
        <f t="shared" ca="1" si="8"/>
        <v>Missing</v>
      </c>
      <c r="BB64" s="7" t="str">
        <f t="shared" si="9"/>
        <v>Missing</v>
      </c>
      <c r="BC64" s="7" t="str">
        <f t="shared" si="10"/>
        <v>OK</v>
      </c>
      <c r="BD64" s="7" t="str">
        <f t="shared" si="11"/>
        <v>Clear</v>
      </c>
      <c r="BE64" s="7" t="str">
        <f t="shared" ca="1" si="12"/>
        <v/>
      </c>
      <c r="BF64" s="7" t="str">
        <f t="shared" ca="1" si="13"/>
        <v/>
      </c>
    </row>
    <row r="65" spans="1:58" x14ac:dyDescent="0.2">
      <c r="A65" s="3" t="s">
        <v>438</v>
      </c>
      <c r="B65" s="3">
        <v>11</v>
      </c>
      <c r="C65" s="3" t="s">
        <v>238</v>
      </c>
      <c r="D65" s="3">
        <v>2927</v>
      </c>
      <c r="E65" s="3" t="s">
        <v>439</v>
      </c>
      <c r="F65" s="3" t="s">
        <v>440</v>
      </c>
      <c r="G65" s="3" t="s">
        <v>441</v>
      </c>
      <c r="H65" s="4" t="s">
        <v>186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 t="s">
        <v>187</v>
      </c>
      <c r="W65" s="5"/>
      <c r="X65" s="5"/>
      <c r="Y65" s="5"/>
      <c r="Z65" s="5" t="s">
        <v>101</v>
      </c>
      <c r="AA65" s="5" t="s">
        <v>101</v>
      </c>
      <c r="AB65" s="5"/>
      <c r="AC65" s="5"/>
      <c r="AD65" s="5"/>
      <c r="AE65" s="5"/>
      <c r="AF65" s="5" t="s">
        <v>101</v>
      </c>
      <c r="AG65" s="5" t="s">
        <v>101</v>
      </c>
      <c r="AH65" s="5" t="s">
        <v>101</v>
      </c>
      <c r="AI65" s="5" t="s">
        <v>101</v>
      </c>
      <c r="AJ65" s="5" t="s">
        <v>101</v>
      </c>
      <c r="AK65" s="5" t="s">
        <v>101</v>
      </c>
      <c r="AL65" s="5" t="s">
        <v>101</v>
      </c>
      <c r="AM65" s="5" t="s">
        <v>101</v>
      </c>
      <c r="AN65" s="5"/>
      <c r="AO65" s="5" t="s">
        <v>188</v>
      </c>
      <c r="AP65" s="5" t="s">
        <v>101</v>
      </c>
      <c r="AQ65" s="5"/>
      <c r="AR65" s="5"/>
      <c r="AS65" s="5"/>
      <c r="AT65" s="5" t="s">
        <v>101</v>
      </c>
      <c r="AU65" s="5"/>
      <c r="AV65" s="5" t="s">
        <v>101</v>
      </c>
      <c r="AW65" s="5"/>
      <c r="AX65" s="5"/>
      <c r="AY65" s="5"/>
      <c r="AZ65" s="6" t="str">
        <f t="shared" si="7"/>
        <v>Missing</v>
      </c>
      <c r="BA65" s="7" t="str">
        <f t="shared" ca="1" si="8"/>
        <v>Missing</v>
      </c>
      <c r="BB65" s="7" t="str">
        <f t="shared" si="9"/>
        <v>Missing</v>
      </c>
      <c r="BC65" s="7" t="str">
        <f t="shared" si="10"/>
        <v>OK</v>
      </c>
      <c r="BD65" s="7" t="str">
        <f t="shared" si="11"/>
        <v>Clear</v>
      </c>
      <c r="BE65" s="7" t="str">
        <f t="shared" ca="1" si="12"/>
        <v/>
      </c>
      <c r="BF65" s="7" t="str">
        <f t="shared" ca="1" si="13"/>
        <v/>
      </c>
    </row>
    <row r="66" spans="1:58" x14ac:dyDescent="0.2">
      <c r="A66" s="3" t="s">
        <v>442</v>
      </c>
      <c r="B66" s="3">
        <v>11</v>
      </c>
      <c r="C66" s="3" t="s">
        <v>238</v>
      </c>
      <c r="D66" s="3">
        <v>2929</v>
      </c>
      <c r="E66" s="3" t="s">
        <v>443</v>
      </c>
      <c r="F66" s="3" t="s">
        <v>444</v>
      </c>
      <c r="G66" s="3" t="s">
        <v>445</v>
      </c>
      <c r="H66" s="4" t="s">
        <v>186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 t="s">
        <v>187</v>
      </c>
      <c r="W66" s="5"/>
      <c r="X66" s="5"/>
      <c r="Y66" s="5"/>
      <c r="Z66" s="5" t="s">
        <v>101</v>
      </c>
      <c r="AA66" s="5" t="s">
        <v>101</v>
      </c>
      <c r="AB66" s="5"/>
      <c r="AC66" s="5"/>
      <c r="AD66" s="5"/>
      <c r="AE66" s="5"/>
      <c r="AF66" s="5" t="s">
        <v>101</v>
      </c>
      <c r="AG66" s="5" t="s">
        <v>101</v>
      </c>
      <c r="AH66" s="5" t="s">
        <v>101</v>
      </c>
      <c r="AI66" s="5" t="s">
        <v>101</v>
      </c>
      <c r="AJ66" s="5" t="s">
        <v>101</v>
      </c>
      <c r="AK66" s="5" t="s">
        <v>101</v>
      </c>
      <c r="AL66" s="5" t="s">
        <v>101</v>
      </c>
      <c r="AM66" s="5" t="s">
        <v>101</v>
      </c>
      <c r="AN66" s="5"/>
      <c r="AO66" s="5" t="s">
        <v>188</v>
      </c>
      <c r="AP66" s="5" t="s">
        <v>101</v>
      </c>
      <c r="AQ66" s="5"/>
      <c r="AR66" s="5"/>
      <c r="AS66" s="5"/>
      <c r="AT66" s="5" t="s">
        <v>101</v>
      </c>
      <c r="AU66" s="5"/>
      <c r="AV66" s="5" t="s">
        <v>101</v>
      </c>
      <c r="AW66" s="5"/>
      <c r="AX66" s="5"/>
      <c r="AY66" s="5"/>
      <c r="AZ66" s="6" t="str">
        <f t="shared" ref="AZ66:AZ97" si="14">IF(AND(I66&lt;&gt;"",P66&lt;&gt;"",R66&lt;&gt;""),"Complete",IF(COUNTA(I66:R66)=0,"Missing","Partial"))</f>
        <v>Missing</v>
      </c>
      <c r="BA66" s="7" t="str">
        <f t="shared" ref="BA66:BA97" ca="1" si="15">IF(OR(Z66&lt;&gt;"Yes",AA66&lt;&gt;"Yes",AE66=""),"Missing",IF(AE66&lt;TODAY(),"Expired",IF(AE66&lt;=TODAY()+30,"Renewal &lt;30d",IF(AND(AF66="Yes",AG66="Yes",AJ66="Yes"),"Verified","Review"))))</f>
        <v>Missing</v>
      </c>
      <c r="BB66" s="7" t="str">
        <f t="shared" ref="BB66:BB97" si="16">IF(AND(AJ66="Yes",AK66="Yes",AL66="Yes",OR(V66&lt;&gt;"Tenant",AM66="Yes")),"Complete",IF(COUNTIF(AJ66:AM66,"Yes")=0,"Missing","Partial"))</f>
        <v>Missing</v>
      </c>
      <c r="BC66" s="7" t="str">
        <f t="shared" ref="BC66:BC97" si="17">IF(AP66="Yes","Active Issue",IF(AN66="Replacement Risk","Replacement Risk",IF(AN66="Repair Needed","Repair Needed",IF(AN66="Monitor","Monitor","OK"))))</f>
        <v>OK</v>
      </c>
      <c r="BD66" s="7" t="str">
        <f t="shared" ref="BD66:BD97" si="18">IF(AT66="Yes","Open Case",IF(AV66="Yes","Board Review","Clear"))</f>
        <v>Clear</v>
      </c>
      <c r="BE66" s="7" t="str">
        <f t="shared" ref="BE66:BE97" ca="1" si="19">IF(OR(BB66="Missing",BB66="Expired",BD66="Active Issue",BD66="Replacement Risk",BE66="Open Case",BC66="Missing"),"Immediate Action",IF(OR(BB66="Renewal &lt;30d",BB66="Review",BC66="Partial",BD66="Monitor",BE66="Board Review",BA66="Partial"),"Follow Up","Complete"))</f>
        <v/>
      </c>
      <c r="BF66" s="7" t="str">
        <f t="shared" ref="BF66:BF97" ca="1" si="20">(BA66&lt;&gt;"Complete")*1+(OR(BB66="Missing",BB66="Expired"))*3+(BB66="Renewal &lt;30d")*2+(BC66&lt;&gt;"Complete")*2+(OR(BD66="Active Issue",BD66="Replacement Risk"))*3+(BE66&lt;&gt;"Clear")*2+(H66="Review")*1</f>
        <v/>
      </c>
    </row>
    <row r="67" spans="1:58" x14ac:dyDescent="0.2">
      <c r="A67" s="3" t="s">
        <v>446</v>
      </c>
      <c r="B67" s="3">
        <v>11</v>
      </c>
      <c r="C67" s="3" t="s">
        <v>238</v>
      </c>
      <c r="D67" s="3">
        <v>2931</v>
      </c>
      <c r="E67" s="3" t="s">
        <v>447</v>
      </c>
      <c r="F67" s="3" t="s">
        <v>448</v>
      </c>
      <c r="G67" s="3" t="s">
        <v>449</v>
      </c>
      <c r="H67" s="4" t="s">
        <v>186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 t="s">
        <v>187</v>
      </c>
      <c r="W67" s="5"/>
      <c r="X67" s="5"/>
      <c r="Y67" s="5"/>
      <c r="Z67" s="5" t="s">
        <v>101</v>
      </c>
      <c r="AA67" s="5" t="s">
        <v>101</v>
      </c>
      <c r="AB67" s="5"/>
      <c r="AC67" s="5"/>
      <c r="AD67" s="5"/>
      <c r="AE67" s="5"/>
      <c r="AF67" s="5" t="s">
        <v>101</v>
      </c>
      <c r="AG67" s="5" t="s">
        <v>101</v>
      </c>
      <c r="AH67" s="5" t="s">
        <v>101</v>
      </c>
      <c r="AI67" s="5" t="s">
        <v>101</v>
      </c>
      <c r="AJ67" s="5" t="s">
        <v>101</v>
      </c>
      <c r="AK67" s="5" t="s">
        <v>101</v>
      </c>
      <c r="AL67" s="5" t="s">
        <v>101</v>
      </c>
      <c r="AM67" s="5" t="s">
        <v>101</v>
      </c>
      <c r="AN67" s="5"/>
      <c r="AO67" s="5" t="s">
        <v>188</v>
      </c>
      <c r="AP67" s="5" t="s">
        <v>101</v>
      </c>
      <c r="AQ67" s="5"/>
      <c r="AR67" s="5"/>
      <c r="AS67" s="5"/>
      <c r="AT67" s="5" t="s">
        <v>101</v>
      </c>
      <c r="AU67" s="5"/>
      <c r="AV67" s="5" t="s">
        <v>101</v>
      </c>
      <c r="AW67" s="5"/>
      <c r="AX67" s="5"/>
      <c r="AY67" s="5"/>
      <c r="AZ67" s="6" t="str">
        <f t="shared" si="14"/>
        <v>Missing</v>
      </c>
      <c r="BA67" s="7" t="str">
        <f t="shared" ca="1" si="15"/>
        <v>Missing</v>
      </c>
      <c r="BB67" s="7" t="str">
        <f t="shared" si="16"/>
        <v>Missing</v>
      </c>
      <c r="BC67" s="7" t="str">
        <f t="shared" si="17"/>
        <v>OK</v>
      </c>
      <c r="BD67" s="7" t="str">
        <f t="shared" si="18"/>
        <v>Clear</v>
      </c>
      <c r="BE67" s="7" t="str">
        <f t="shared" ca="1" si="19"/>
        <v/>
      </c>
      <c r="BF67" s="7" t="str">
        <f t="shared" ca="1" si="20"/>
        <v/>
      </c>
    </row>
    <row r="68" spans="1:58" x14ac:dyDescent="0.2">
      <c r="A68" s="3" t="s">
        <v>450</v>
      </c>
      <c r="B68" s="3">
        <v>12</v>
      </c>
      <c r="C68" s="3" t="s">
        <v>451</v>
      </c>
      <c r="D68" s="3">
        <v>2912</v>
      </c>
      <c r="E68" s="3" t="s">
        <v>452</v>
      </c>
      <c r="F68" s="3" t="s">
        <v>453</v>
      </c>
      <c r="G68" s="3" t="s">
        <v>454</v>
      </c>
      <c r="H68" s="4" t="s">
        <v>186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 t="s">
        <v>187</v>
      </c>
      <c r="W68" s="5"/>
      <c r="X68" s="5"/>
      <c r="Y68" s="5"/>
      <c r="Z68" s="5" t="s">
        <v>101</v>
      </c>
      <c r="AA68" s="5" t="s">
        <v>101</v>
      </c>
      <c r="AB68" s="5"/>
      <c r="AC68" s="5"/>
      <c r="AD68" s="5"/>
      <c r="AE68" s="5"/>
      <c r="AF68" s="5" t="s">
        <v>101</v>
      </c>
      <c r="AG68" s="5" t="s">
        <v>101</v>
      </c>
      <c r="AH68" s="5" t="s">
        <v>101</v>
      </c>
      <c r="AI68" s="5" t="s">
        <v>101</v>
      </c>
      <c r="AJ68" s="5" t="s">
        <v>101</v>
      </c>
      <c r="AK68" s="5" t="s">
        <v>101</v>
      </c>
      <c r="AL68" s="5" t="s">
        <v>101</v>
      </c>
      <c r="AM68" s="5" t="s">
        <v>101</v>
      </c>
      <c r="AN68" s="5"/>
      <c r="AO68" s="5" t="s">
        <v>188</v>
      </c>
      <c r="AP68" s="5" t="s">
        <v>101</v>
      </c>
      <c r="AQ68" s="5"/>
      <c r="AR68" s="5"/>
      <c r="AS68" s="5"/>
      <c r="AT68" s="5" t="s">
        <v>101</v>
      </c>
      <c r="AU68" s="5"/>
      <c r="AV68" s="5" t="s">
        <v>101</v>
      </c>
      <c r="AW68" s="5"/>
      <c r="AX68" s="5"/>
      <c r="AY68" s="5"/>
      <c r="AZ68" s="6" t="str">
        <f t="shared" si="14"/>
        <v>Missing</v>
      </c>
      <c r="BA68" s="7" t="str">
        <f t="shared" ca="1" si="15"/>
        <v>Missing</v>
      </c>
      <c r="BB68" s="7" t="str">
        <f t="shared" si="16"/>
        <v>Missing</v>
      </c>
      <c r="BC68" s="7" t="str">
        <f t="shared" si="17"/>
        <v>OK</v>
      </c>
      <c r="BD68" s="7" t="str">
        <f t="shared" si="18"/>
        <v>Clear</v>
      </c>
      <c r="BE68" s="7" t="str">
        <f t="shared" ca="1" si="19"/>
        <v/>
      </c>
      <c r="BF68" s="7" t="str">
        <f t="shared" ca="1" si="20"/>
        <v/>
      </c>
    </row>
    <row r="69" spans="1:58" x14ac:dyDescent="0.2">
      <c r="A69" s="3" t="s">
        <v>455</v>
      </c>
      <c r="B69" s="3">
        <v>12</v>
      </c>
      <c r="C69" s="3" t="s">
        <v>451</v>
      </c>
      <c r="D69" s="3">
        <v>2914</v>
      </c>
      <c r="E69" s="3" t="s">
        <v>456</v>
      </c>
      <c r="F69" s="3" t="s">
        <v>457</v>
      </c>
      <c r="G69" s="3" t="s">
        <v>458</v>
      </c>
      <c r="H69" s="4" t="s">
        <v>186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 t="s">
        <v>187</v>
      </c>
      <c r="W69" s="5"/>
      <c r="X69" s="5"/>
      <c r="Y69" s="5"/>
      <c r="Z69" s="5" t="s">
        <v>101</v>
      </c>
      <c r="AA69" s="5" t="s">
        <v>101</v>
      </c>
      <c r="AB69" s="5"/>
      <c r="AC69" s="5"/>
      <c r="AD69" s="5"/>
      <c r="AE69" s="5"/>
      <c r="AF69" s="5" t="s">
        <v>101</v>
      </c>
      <c r="AG69" s="5" t="s">
        <v>101</v>
      </c>
      <c r="AH69" s="5" t="s">
        <v>101</v>
      </c>
      <c r="AI69" s="5" t="s">
        <v>101</v>
      </c>
      <c r="AJ69" s="5" t="s">
        <v>101</v>
      </c>
      <c r="AK69" s="5" t="s">
        <v>101</v>
      </c>
      <c r="AL69" s="5" t="s">
        <v>101</v>
      </c>
      <c r="AM69" s="5" t="s">
        <v>101</v>
      </c>
      <c r="AN69" s="5"/>
      <c r="AO69" s="5" t="s">
        <v>188</v>
      </c>
      <c r="AP69" s="5" t="s">
        <v>101</v>
      </c>
      <c r="AQ69" s="5"/>
      <c r="AR69" s="5"/>
      <c r="AS69" s="5"/>
      <c r="AT69" s="5" t="s">
        <v>101</v>
      </c>
      <c r="AU69" s="5"/>
      <c r="AV69" s="5" t="s">
        <v>101</v>
      </c>
      <c r="AW69" s="5"/>
      <c r="AX69" s="5"/>
      <c r="AY69" s="5"/>
      <c r="AZ69" s="6" t="str">
        <f t="shared" si="14"/>
        <v>Missing</v>
      </c>
      <c r="BA69" s="7" t="str">
        <f t="shared" ca="1" si="15"/>
        <v>Missing</v>
      </c>
      <c r="BB69" s="7" t="str">
        <f t="shared" si="16"/>
        <v>Missing</v>
      </c>
      <c r="BC69" s="7" t="str">
        <f t="shared" si="17"/>
        <v>OK</v>
      </c>
      <c r="BD69" s="7" t="str">
        <f t="shared" si="18"/>
        <v>Clear</v>
      </c>
      <c r="BE69" s="7" t="str">
        <f t="shared" ca="1" si="19"/>
        <v/>
      </c>
      <c r="BF69" s="7" t="str">
        <f t="shared" ca="1" si="20"/>
        <v/>
      </c>
    </row>
    <row r="70" spans="1:58" x14ac:dyDescent="0.2">
      <c r="A70" s="3" t="s">
        <v>459</v>
      </c>
      <c r="B70" s="3">
        <v>12</v>
      </c>
      <c r="C70" s="3" t="s">
        <v>451</v>
      </c>
      <c r="D70" s="3">
        <v>2916</v>
      </c>
      <c r="E70" s="3" t="s">
        <v>460</v>
      </c>
      <c r="F70" s="3" t="s">
        <v>461</v>
      </c>
      <c r="G70" s="3" t="s">
        <v>462</v>
      </c>
      <c r="H70" s="4" t="s">
        <v>186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 t="s">
        <v>187</v>
      </c>
      <c r="W70" s="5"/>
      <c r="X70" s="5"/>
      <c r="Y70" s="5"/>
      <c r="Z70" s="5" t="s">
        <v>101</v>
      </c>
      <c r="AA70" s="5" t="s">
        <v>101</v>
      </c>
      <c r="AB70" s="5"/>
      <c r="AC70" s="5"/>
      <c r="AD70" s="5"/>
      <c r="AE70" s="5"/>
      <c r="AF70" s="5" t="s">
        <v>101</v>
      </c>
      <c r="AG70" s="5" t="s">
        <v>101</v>
      </c>
      <c r="AH70" s="5" t="s">
        <v>101</v>
      </c>
      <c r="AI70" s="5" t="s">
        <v>101</v>
      </c>
      <c r="AJ70" s="5" t="s">
        <v>101</v>
      </c>
      <c r="AK70" s="5" t="s">
        <v>101</v>
      </c>
      <c r="AL70" s="5" t="s">
        <v>101</v>
      </c>
      <c r="AM70" s="5" t="s">
        <v>101</v>
      </c>
      <c r="AN70" s="5"/>
      <c r="AO70" s="5" t="s">
        <v>188</v>
      </c>
      <c r="AP70" s="5" t="s">
        <v>101</v>
      </c>
      <c r="AQ70" s="5"/>
      <c r="AR70" s="5"/>
      <c r="AS70" s="5"/>
      <c r="AT70" s="5" t="s">
        <v>101</v>
      </c>
      <c r="AU70" s="5"/>
      <c r="AV70" s="5" t="s">
        <v>101</v>
      </c>
      <c r="AW70" s="5"/>
      <c r="AX70" s="5"/>
      <c r="AY70" s="5"/>
      <c r="AZ70" s="6" t="str">
        <f t="shared" si="14"/>
        <v>Missing</v>
      </c>
      <c r="BA70" s="7" t="str">
        <f t="shared" ca="1" si="15"/>
        <v>Missing</v>
      </c>
      <c r="BB70" s="7" t="str">
        <f t="shared" si="16"/>
        <v>Missing</v>
      </c>
      <c r="BC70" s="7" t="str">
        <f t="shared" si="17"/>
        <v>OK</v>
      </c>
      <c r="BD70" s="7" t="str">
        <f t="shared" si="18"/>
        <v>Clear</v>
      </c>
      <c r="BE70" s="7" t="str">
        <f t="shared" ca="1" si="19"/>
        <v/>
      </c>
      <c r="BF70" s="7" t="str">
        <f t="shared" ca="1" si="20"/>
        <v/>
      </c>
    </row>
    <row r="71" spans="1:58" x14ac:dyDescent="0.2">
      <c r="A71" s="3" t="s">
        <v>463</v>
      </c>
      <c r="B71" s="3">
        <v>12</v>
      </c>
      <c r="C71" s="3" t="s">
        <v>451</v>
      </c>
      <c r="D71" s="3">
        <v>2918</v>
      </c>
      <c r="E71" s="3" t="s">
        <v>464</v>
      </c>
      <c r="F71" s="3" t="s">
        <v>465</v>
      </c>
      <c r="G71" s="3" t="s">
        <v>466</v>
      </c>
      <c r="H71" s="4" t="s">
        <v>186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 t="s">
        <v>187</v>
      </c>
      <c r="W71" s="5"/>
      <c r="X71" s="5"/>
      <c r="Y71" s="5"/>
      <c r="Z71" s="5" t="s">
        <v>101</v>
      </c>
      <c r="AA71" s="5" t="s">
        <v>101</v>
      </c>
      <c r="AB71" s="5"/>
      <c r="AC71" s="5"/>
      <c r="AD71" s="5"/>
      <c r="AE71" s="5"/>
      <c r="AF71" s="5" t="s">
        <v>101</v>
      </c>
      <c r="AG71" s="5" t="s">
        <v>101</v>
      </c>
      <c r="AH71" s="5" t="s">
        <v>101</v>
      </c>
      <c r="AI71" s="5" t="s">
        <v>101</v>
      </c>
      <c r="AJ71" s="5" t="s">
        <v>101</v>
      </c>
      <c r="AK71" s="5" t="s">
        <v>101</v>
      </c>
      <c r="AL71" s="5" t="s">
        <v>101</v>
      </c>
      <c r="AM71" s="5" t="s">
        <v>101</v>
      </c>
      <c r="AN71" s="5"/>
      <c r="AO71" s="5" t="s">
        <v>188</v>
      </c>
      <c r="AP71" s="5" t="s">
        <v>101</v>
      </c>
      <c r="AQ71" s="5"/>
      <c r="AR71" s="5"/>
      <c r="AS71" s="5"/>
      <c r="AT71" s="5" t="s">
        <v>101</v>
      </c>
      <c r="AU71" s="5"/>
      <c r="AV71" s="5" t="s">
        <v>101</v>
      </c>
      <c r="AW71" s="5"/>
      <c r="AX71" s="5"/>
      <c r="AY71" s="5"/>
      <c r="AZ71" s="6" t="str">
        <f t="shared" si="14"/>
        <v>Missing</v>
      </c>
      <c r="BA71" s="7" t="str">
        <f t="shared" ca="1" si="15"/>
        <v>Missing</v>
      </c>
      <c r="BB71" s="7" t="str">
        <f t="shared" si="16"/>
        <v>Missing</v>
      </c>
      <c r="BC71" s="7" t="str">
        <f t="shared" si="17"/>
        <v>OK</v>
      </c>
      <c r="BD71" s="7" t="str">
        <f t="shared" si="18"/>
        <v>Clear</v>
      </c>
      <c r="BE71" s="7" t="str">
        <f t="shared" ca="1" si="19"/>
        <v/>
      </c>
      <c r="BF71" s="7" t="str">
        <f t="shared" ca="1" si="20"/>
        <v/>
      </c>
    </row>
    <row r="72" spans="1:58" x14ac:dyDescent="0.2">
      <c r="A72" s="3" t="s">
        <v>467</v>
      </c>
      <c r="B72" s="3">
        <v>12</v>
      </c>
      <c r="C72" s="3" t="s">
        <v>451</v>
      </c>
      <c r="D72" s="3">
        <v>2920</v>
      </c>
      <c r="E72" s="3" t="s">
        <v>468</v>
      </c>
      <c r="F72" s="3" t="s">
        <v>469</v>
      </c>
      <c r="G72" s="3" t="s">
        <v>470</v>
      </c>
      <c r="H72" s="4" t="s">
        <v>186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 t="s">
        <v>187</v>
      </c>
      <c r="W72" s="5"/>
      <c r="X72" s="5"/>
      <c r="Y72" s="5"/>
      <c r="Z72" s="5" t="s">
        <v>101</v>
      </c>
      <c r="AA72" s="5" t="s">
        <v>101</v>
      </c>
      <c r="AB72" s="5"/>
      <c r="AC72" s="5"/>
      <c r="AD72" s="5"/>
      <c r="AE72" s="5"/>
      <c r="AF72" s="5" t="s">
        <v>101</v>
      </c>
      <c r="AG72" s="5" t="s">
        <v>101</v>
      </c>
      <c r="AH72" s="5" t="s">
        <v>101</v>
      </c>
      <c r="AI72" s="5" t="s">
        <v>101</v>
      </c>
      <c r="AJ72" s="5" t="s">
        <v>101</v>
      </c>
      <c r="AK72" s="5" t="s">
        <v>101</v>
      </c>
      <c r="AL72" s="5" t="s">
        <v>101</v>
      </c>
      <c r="AM72" s="5" t="s">
        <v>101</v>
      </c>
      <c r="AN72" s="5"/>
      <c r="AO72" s="5" t="s">
        <v>188</v>
      </c>
      <c r="AP72" s="5" t="s">
        <v>101</v>
      </c>
      <c r="AQ72" s="5"/>
      <c r="AR72" s="5"/>
      <c r="AS72" s="5"/>
      <c r="AT72" s="5" t="s">
        <v>101</v>
      </c>
      <c r="AU72" s="5"/>
      <c r="AV72" s="5" t="s">
        <v>101</v>
      </c>
      <c r="AW72" s="5"/>
      <c r="AX72" s="5"/>
      <c r="AY72" s="5"/>
      <c r="AZ72" s="6" t="str">
        <f t="shared" si="14"/>
        <v>Missing</v>
      </c>
      <c r="BA72" s="7" t="str">
        <f t="shared" ca="1" si="15"/>
        <v>Missing</v>
      </c>
      <c r="BB72" s="7" t="str">
        <f t="shared" si="16"/>
        <v>Missing</v>
      </c>
      <c r="BC72" s="7" t="str">
        <f t="shared" si="17"/>
        <v>OK</v>
      </c>
      <c r="BD72" s="7" t="str">
        <f t="shared" si="18"/>
        <v>Clear</v>
      </c>
      <c r="BE72" s="7" t="str">
        <f t="shared" ca="1" si="19"/>
        <v/>
      </c>
      <c r="BF72" s="7" t="str">
        <f t="shared" ca="1" si="20"/>
        <v/>
      </c>
    </row>
    <row r="73" spans="1:58" x14ac:dyDescent="0.2">
      <c r="A73" s="3" t="s">
        <v>471</v>
      </c>
      <c r="B73" s="3">
        <v>13</v>
      </c>
      <c r="C73" s="3" t="s">
        <v>451</v>
      </c>
      <c r="D73" s="3">
        <v>2902</v>
      </c>
      <c r="E73" s="3" t="s">
        <v>472</v>
      </c>
      <c r="F73" s="3" t="s">
        <v>473</v>
      </c>
      <c r="G73" s="3" t="s">
        <v>474</v>
      </c>
      <c r="H73" s="4" t="s">
        <v>186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 t="s">
        <v>187</v>
      </c>
      <c r="W73" s="5"/>
      <c r="X73" s="5"/>
      <c r="Y73" s="5"/>
      <c r="Z73" s="5" t="s">
        <v>101</v>
      </c>
      <c r="AA73" s="5" t="s">
        <v>101</v>
      </c>
      <c r="AB73" s="5"/>
      <c r="AC73" s="5"/>
      <c r="AD73" s="5"/>
      <c r="AE73" s="5"/>
      <c r="AF73" s="5" t="s">
        <v>101</v>
      </c>
      <c r="AG73" s="5" t="s">
        <v>101</v>
      </c>
      <c r="AH73" s="5" t="s">
        <v>101</v>
      </c>
      <c r="AI73" s="5" t="s">
        <v>101</v>
      </c>
      <c r="AJ73" s="5" t="s">
        <v>101</v>
      </c>
      <c r="AK73" s="5" t="s">
        <v>101</v>
      </c>
      <c r="AL73" s="5" t="s">
        <v>101</v>
      </c>
      <c r="AM73" s="5" t="s">
        <v>101</v>
      </c>
      <c r="AN73" s="5"/>
      <c r="AO73" s="5" t="s">
        <v>188</v>
      </c>
      <c r="AP73" s="5" t="s">
        <v>101</v>
      </c>
      <c r="AQ73" s="5"/>
      <c r="AR73" s="5"/>
      <c r="AS73" s="5"/>
      <c r="AT73" s="5" t="s">
        <v>101</v>
      </c>
      <c r="AU73" s="5"/>
      <c r="AV73" s="5" t="s">
        <v>101</v>
      </c>
      <c r="AW73" s="5"/>
      <c r="AX73" s="5"/>
      <c r="AY73" s="5"/>
      <c r="AZ73" s="6" t="str">
        <f t="shared" si="14"/>
        <v>Missing</v>
      </c>
      <c r="BA73" s="7" t="str">
        <f t="shared" ca="1" si="15"/>
        <v>Missing</v>
      </c>
      <c r="BB73" s="7" t="str">
        <f t="shared" si="16"/>
        <v>Missing</v>
      </c>
      <c r="BC73" s="7" t="str">
        <f t="shared" si="17"/>
        <v>OK</v>
      </c>
      <c r="BD73" s="7" t="str">
        <f t="shared" si="18"/>
        <v>Clear</v>
      </c>
      <c r="BE73" s="7" t="str">
        <f t="shared" ca="1" si="19"/>
        <v/>
      </c>
      <c r="BF73" s="7" t="str">
        <f t="shared" ca="1" si="20"/>
        <v/>
      </c>
    </row>
    <row r="74" spans="1:58" x14ac:dyDescent="0.2">
      <c r="A74" s="3" t="s">
        <v>475</v>
      </c>
      <c r="B74" s="3">
        <v>13</v>
      </c>
      <c r="C74" s="3" t="s">
        <v>451</v>
      </c>
      <c r="D74" s="3">
        <v>2904</v>
      </c>
      <c r="E74" s="3" t="s">
        <v>476</v>
      </c>
      <c r="F74" s="3" t="s">
        <v>477</v>
      </c>
      <c r="G74" s="3" t="s">
        <v>478</v>
      </c>
      <c r="H74" s="4" t="s">
        <v>186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 t="s">
        <v>187</v>
      </c>
      <c r="W74" s="5"/>
      <c r="X74" s="5"/>
      <c r="Y74" s="5"/>
      <c r="Z74" s="5" t="s">
        <v>101</v>
      </c>
      <c r="AA74" s="5" t="s">
        <v>101</v>
      </c>
      <c r="AB74" s="5"/>
      <c r="AC74" s="5"/>
      <c r="AD74" s="5"/>
      <c r="AE74" s="5"/>
      <c r="AF74" s="5" t="s">
        <v>101</v>
      </c>
      <c r="AG74" s="5" t="s">
        <v>101</v>
      </c>
      <c r="AH74" s="5" t="s">
        <v>101</v>
      </c>
      <c r="AI74" s="5" t="s">
        <v>101</v>
      </c>
      <c r="AJ74" s="5" t="s">
        <v>101</v>
      </c>
      <c r="AK74" s="5" t="s">
        <v>101</v>
      </c>
      <c r="AL74" s="5" t="s">
        <v>101</v>
      </c>
      <c r="AM74" s="5" t="s">
        <v>101</v>
      </c>
      <c r="AN74" s="5"/>
      <c r="AO74" s="5" t="s">
        <v>188</v>
      </c>
      <c r="AP74" s="5" t="s">
        <v>101</v>
      </c>
      <c r="AQ74" s="5"/>
      <c r="AR74" s="5"/>
      <c r="AS74" s="5"/>
      <c r="AT74" s="5" t="s">
        <v>101</v>
      </c>
      <c r="AU74" s="5"/>
      <c r="AV74" s="5" t="s">
        <v>101</v>
      </c>
      <c r="AW74" s="5"/>
      <c r="AX74" s="5"/>
      <c r="AY74" s="5"/>
      <c r="AZ74" s="6" t="str">
        <f t="shared" si="14"/>
        <v>Missing</v>
      </c>
      <c r="BA74" s="7" t="str">
        <f t="shared" ca="1" si="15"/>
        <v>Missing</v>
      </c>
      <c r="BB74" s="7" t="str">
        <f t="shared" si="16"/>
        <v>Missing</v>
      </c>
      <c r="BC74" s="7" t="str">
        <f t="shared" si="17"/>
        <v>OK</v>
      </c>
      <c r="BD74" s="7" t="str">
        <f t="shared" si="18"/>
        <v>Clear</v>
      </c>
      <c r="BE74" s="7" t="str">
        <f t="shared" ca="1" si="19"/>
        <v/>
      </c>
      <c r="BF74" s="7" t="str">
        <f t="shared" ca="1" si="20"/>
        <v/>
      </c>
    </row>
    <row r="75" spans="1:58" x14ac:dyDescent="0.2">
      <c r="A75" s="3" t="s">
        <v>479</v>
      </c>
      <c r="B75" s="3">
        <v>13</v>
      </c>
      <c r="C75" s="3" t="s">
        <v>451</v>
      </c>
      <c r="D75" s="3">
        <v>2906</v>
      </c>
      <c r="E75" s="3" t="s">
        <v>480</v>
      </c>
      <c r="F75" s="3" t="s">
        <v>481</v>
      </c>
      <c r="G75" s="3" t="s">
        <v>482</v>
      </c>
      <c r="H75" s="4" t="s">
        <v>186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 t="s">
        <v>187</v>
      </c>
      <c r="W75" s="5"/>
      <c r="X75" s="5"/>
      <c r="Y75" s="5"/>
      <c r="Z75" s="5" t="s">
        <v>101</v>
      </c>
      <c r="AA75" s="5" t="s">
        <v>101</v>
      </c>
      <c r="AB75" s="5"/>
      <c r="AC75" s="5"/>
      <c r="AD75" s="5"/>
      <c r="AE75" s="5"/>
      <c r="AF75" s="5" t="s">
        <v>101</v>
      </c>
      <c r="AG75" s="5" t="s">
        <v>101</v>
      </c>
      <c r="AH75" s="5" t="s">
        <v>101</v>
      </c>
      <c r="AI75" s="5" t="s">
        <v>101</v>
      </c>
      <c r="AJ75" s="5" t="s">
        <v>101</v>
      </c>
      <c r="AK75" s="5" t="s">
        <v>101</v>
      </c>
      <c r="AL75" s="5" t="s">
        <v>101</v>
      </c>
      <c r="AM75" s="5" t="s">
        <v>101</v>
      </c>
      <c r="AN75" s="5"/>
      <c r="AO75" s="5" t="s">
        <v>188</v>
      </c>
      <c r="AP75" s="5" t="s">
        <v>101</v>
      </c>
      <c r="AQ75" s="5"/>
      <c r="AR75" s="5"/>
      <c r="AS75" s="5"/>
      <c r="AT75" s="5" t="s">
        <v>101</v>
      </c>
      <c r="AU75" s="5"/>
      <c r="AV75" s="5" t="s">
        <v>101</v>
      </c>
      <c r="AW75" s="5"/>
      <c r="AX75" s="5"/>
      <c r="AY75" s="5"/>
      <c r="AZ75" s="6" t="str">
        <f t="shared" si="14"/>
        <v>Missing</v>
      </c>
      <c r="BA75" s="7" t="str">
        <f t="shared" ca="1" si="15"/>
        <v>Missing</v>
      </c>
      <c r="BB75" s="7" t="str">
        <f t="shared" si="16"/>
        <v>Missing</v>
      </c>
      <c r="BC75" s="7" t="str">
        <f t="shared" si="17"/>
        <v>OK</v>
      </c>
      <c r="BD75" s="7" t="str">
        <f t="shared" si="18"/>
        <v>Clear</v>
      </c>
      <c r="BE75" s="7" t="str">
        <f t="shared" ca="1" si="19"/>
        <v/>
      </c>
      <c r="BF75" s="7" t="str">
        <f t="shared" ca="1" si="20"/>
        <v/>
      </c>
    </row>
    <row r="76" spans="1:58" x14ac:dyDescent="0.2">
      <c r="A76" s="3" t="s">
        <v>483</v>
      </c>
      <c r="B76" s="3">
        <v>13</v>
      </c>
      <c r="C76" s="3" t="s">
        <v>451</v>
      </c>
      <c r="D76" s="3">
        <v>2908</v>
      </c>
      <c r="E76" s="3" t="s">
        <v>484</v>
      </c>
      <c r="F76" s="3" t="s">
        <v>485</v>
      </c>
      <c r="G76" s="3" t="s">
        <v>486</v>
      </c>
      <c r="H76" s="4" t="s">
        <v>186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 t="s">
        <v>187</v>
      </c>
      <c r="W76" s="5"/>
      <c r="X76" s="5"/>
      <c r="Y76" s="5"/>
      <c r="Z76" s="5" t="s">
        <v>101</v>
      </c>
      <c r="AA76" s="5" t="s">
        <v>101</v>
      </c>
      <c r="AB76" s="5"/>
      <c r="AC76" s="5"/>
      <c r="AD76" s="5"/>
      <c r="AE76" s="5"/>
      <c r="AF76" s="5" t="s">
        <v>101</v>
      </c>
      <c r="AG76" s="5" t="s">
        <v>101</v>
      </c>
      <c r="AH76" s="5" t="s">
        <v>101</v>
      </c>
      <c r="AI76" s="5" t="s">
        <v>101</v>
      </c>
      <c r="AJ76" s="5" t="s">
        <v>101</v>
      </c>
      <c r="AK76" s="5" t="s">
        <v>101</v>
      </c>
      <c r="AL76" s="5" t="s">
        <v>101</v>
      </c>
      <c r="AM76" s="5" t="s">
        <v>101</v>
      </c>
      <c r="AN76" s="5"/>
      <c r="AO76" s="5" t="s">
        <v>188</v>
      </c>
      <c r="AP76" s="5" t="s">
        <v>101</v>
      </c>
      <c r="AQ76" s="5"/>
      <c r="AR76" s="5"/>
      <c r="AS76" s="5"/>
      <c r="AT76" s="5" t="s">
        <v>101</v>
      </c>
      <c r="AU76" s="5"/>
      <c r="AV76" s="5" t="s">
        <v>101</v>
      </c>
      <c r="AW76" s="5"/>
      <c r="AX76" s="5"/>
      <c r="AY76" s="5"/>
      <c r="AZ76" s="6" t="str">
        <f t="shared" si="14"/>
        <v>Missing</v>
      </c>
      <c r="BA76" s="7" t="str">
        <f t="shared" ca="1" si="15"/>
        <v>Missing</v>
      </c>
      <c r="BB76" s="7" t="str">
        <f t="shared" si="16"/>
        <v>Missing</v>
      </c>
      <c r="BC76" s="7" t="str">
        <f t="shared" si="17"/>
        <v>OK</v>
      </c>
      <c r="BD76" s="7" t="str">
        <f t="shared" si="18"/>
        <v>Clear</v>
      </c>
      <c r="BE76" s="7" t="str">
        <f t="shared" ca="1" si="19"/>
        <v/>
      </c>
      <c r="BF76" s="7" t="str">
        <f t="shared" ca="1" si="20"/>
        <v/>
      </c>
    </row>
    <row r="77" spans="1:58" x14ac:dyDescent="0.2">
      <c r="A77" s="3" t="s">
        <v>487</v>
      </c>
      <c r="B77" s="3">
        <v>13</v>
      </c>
      <c r="C77" s="3" t="s">
        <v>451</v>
      </c>
      <c r="D77" s="3">
        <v>2910</v>
      </c>
      <c r="E77" s="3" t="s">
        <v>488</v>
      </c>
      <c r="F77" s="3" t="s">
        <v>489</v>
      </c>
      <c r="G77" s="3" t="s">
        <v>490</v>
      </c>
      <c r="H77" s="4" t="s">
        <v>186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 t="s">
        <v>187</v>
      </c>
      <c r="W77" s="5"/>
      <c r="X77" s="5"/>
      <c r="Y77" s="5"/>
      <c r="Z77" s="5" t="s">
        <v>101</v>
      </c>
      <c r="AA77" s="5" t="s">
        <v>101</v>
      </c>
      <c r="AB77" s="5"/>
      <c r="AC77" s="5"/>
      <c r="AD77" s="5"/>
      <c r="AE77" s="5"/>
      <c r="AF77" s="5" t="s">
        <v>101</v>
      </c>
      <c r="AG77" s="5" t="s">
        <v>101</v>
      </c>
      <c r="AH77" s="5" t="s">
        <v>101</v>
      </c>
      <c r="AI77" s="5" t="s">
        <v>101</v>
      </c>
      <c r="AJ77" s="5" t="s">
        <v>101</v>
      </c>
      <c r="AK77" s="5" t="s">
        <v>101</v>
      </c>
      <c r="AL77" s="5" t="s">
        <v>101</v>
      </c>
      <c r="AM77" s="5" t="s">
        <v>101</v>
      </c>
      <c r="AN77" s="5"/>
      <c r="AO77" s="5" t="s">
        <v>188</v>
      </c>
      <c r="AP77" s="5" t="s">
        <v>101</v>
      </c>
      <c r="AQ77" s="5"/>
      <c r="AR77" s="5"/>
      <c r="AS77" s="5"/>
      <c r="AT77" s="5" t="s">
        <v>101</v>
      </c>
      <c r="AU77" s="5"/>
      <c r="AV77" s="5" t="s">
        <v>101</v>
      </c>
      <c r="AW77" s="5"/>
      <c r="AX77" s="5"/>
      <c r="AY77" s="5"/>
      <c r="AZ77" s="6" t="str">
        <f t="shared" si="14"/>
        <v>Missing</v>
      </c>
      <c r="BA77" s="7" t="str">
        <f t="shared" ca="1" si="15"/>
        <v>Missing</v>
      </c>
      <c r="BB77" s="7" t="str">
        <f t="shared" si="16"/>
        <v>Missing</v>
      </c>
      <c r="BC77" s="7" t="str">
        <f t="shared" si="17"/>
        <v>OK</v>
      </c>
      <c r="BD77" s="7" t="str">
        <f t="shared" si="18"/>
        <v>Clear</v>
      </c>
      <c r="BE77" s="7" t="str">
        <f t="shared" ca="1" si="19"/>
        <v/>
      </c>
      <c r="BF77" s="7" t="str">
        <f t="shared" ca="1" si="20"/>
        <v/>
      </c>
    </row>
    <row r="78" spans="1:58" x14ac:dyDescent="0.2">
      <c r="A78" s="4" t="s">
        <v>40</v>
      </c>
      <c r="B78" s="4">
        <v>14</v>
      </c>
      <c r="C78" s="4" t="s">
        <v>41</v>
      </c>
      <c r="D78" s="4">
        <v>2513</v>
      </c>
      <c r="E78" s="4" t="s">
        <v>42</v>
      </c>
      <c r="F78" s="4" t="s">
        <v>43</v>
      </c>
      <c r="G78" s="4" t="s">
        <v>491</v>
      </c>
      <c r="H78" s="15" t="s">
        <v>44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 t="s">
        <v>187</v>
      </c>
      <c r="W78" s="16"/>
      <c r="X78" s="16"/>
      <c r="Y78" s="16"/>
      <c r="Z78" s="16" t="s">
        <v>101</v>
      </c>
      <c r="AA78" s="16" t="s">
        <v>101</v>
      </c>
      <c r="AB78" s="16"/>
      <c r="AC78" s="16"/>
      <c r="AD78" s="16"/>
      <c r="AE78" s="16"/>
      <c r="AF78" s="16" t="s">
        <v>101</v>
      </c>
      <c r="AG78" s="16" t="s">
        <v>101</v>
      </c>
      <c r="AH78" s="16" t="s">
        <v>101</v>
      </c>
      <c r="AI78" s="16" t="s">
        <v>101</v>
      </c>
      <c r="AJ78" s="16" t="s">
        <v>101</v>
      </c>
      <c r="AK78" s="16" t="s">
        <v>101</v>
      </c>
      <c r="AL78" s="16" t="s">
        <v>101</v>
      </c>
      <c r="AM78" s="16" t="s">
        <v>101</v>
      </c>
      <c r="AN78" s="16"/>
      <c r="AO78" s="16" t="s">
        <v>188</v>
      </c>
      <c r="AP78" s="16" t="s">
        <v>101</v>
      </c>
      <c r="AQ78" s="16"/>
      <c r="AR78" s="16"/>
      <c r="AS78" s="16"/>
      <c r="AT78" s="16" t="s">
        <v>101</v>
      </c>
      <c r="AU78" s="16"/>
      <c r="AV78" s="16" t="s">
        <v>101</v>
      </c>
      <c r="AW78" s="16"/>
      <c r="AX78" s="16"/>
      <c r="AY78" s="16"/>
      <c r="AZ78" s="16" t="str">
        <f t="shared" si="14"/>
        <v>Missing</v>
      </c>
      <c r="BA78" s="4" t="str">
        <f t="shared" ca="1" si="15"/>
        <v>Missing</v>
      </c>
      <c r="BB78" s="4" t="str">
        <f t="shared" si="16"/>
        <v>Missing</v>
      </c>
      <c r="BC78" s="4" t="str">
        <f t="shared" si="17"/>
        <v>OK</v>
      </c>
      <c r="BD78" s="4" t="str">
        <f t="shared" si="18"/>
        <v>Clear</v>
      </c>
      <c r="BE78" s="4" t="str">
        <f t="shared" ca="1" si="19"/>
        <v/>
      </c>
      <c r="BF78" s="4" t="str">
        <f t="shared" ca="1" si="20"/>
        <v/>
      </c>
    </row>
    <row r="79" spans="1:58" x14ac:dyDescent="0.2">
      <c r="A79" s="4" t="s">
        <v>47</v>
      </c>
      <c r="B79" s="4">
        <v>14</v>
      </c>
      <c r="C79" s="4" t="s">
        <v>41</v>
      </c>
      <c r="D79" s="4">
        <v>2515</v>
      </c>
      <c r="E79" s="4" t="s">
        <v>48</v>
      </c>
      <c r="F79" s="4" t="s">
        <v>49</v>
      </c>
      <c r="G79" s="4" t="s">
        <v>492</v>
      </c>
      <c r="H79" s="15" t="s">
        <v>44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 t="s">
        <v>187</v>
      </c>
      <c r="W79" s="16"/>
      <c r="X79" s="16"/>
      <c r="Y79" s="16"/>
      <c r="Z79" s="16" t="s">
        <v>101</v>
      </c>
      <c r="AA79" s="16" t="s">
        <v>101</v>
      </c>
      <c r="AB79" s="16"/>
      <c r="AC79" s="16"/>
      <c r="AD79" s="16"/>
      <c r="AE79" s="16"/>
      <c r="AF79" s="16" t="s">
        <v>101</v>
      </c>
      <c r="AG79" s="16" t="s">
        <v>101</v>
      </c>
      <c r="AH79" s="16" t="s">
        <v>101</v>
      </c>
      <c r="AI79" s="16" t="s">
        <v>101</v>
      </c>
      <c r="AJ79" s="16" t="s">
        <v>101</v>
      </c>
      <c r="AK79" s="16" t="s">
        <v>101</v>
      </c>
      <c r="AL79" s="16" t="s">
        <v>101</v>
      </c>
      <c r="AM79" s="16" t="s">
        <v>101</v>
      </c>
      <c r="AN79" s="16"/>
      <c r="AO79" s="16" t="s">
        <v>188</v>
      </c>
      <c r="AP79" s="16" t="s">
        <v>101</v>
      </c>
      <c r="AQ79" s="16"/>
      <c r="AR79" s="16"/>
      <c r="AS79" s="16"/>
      <c r="AT79" s="16" t="s">
        <v>101</v>
      </c>
      <c r="AU79" s="16"/>
      <c r="AV79" s="16" t="s">
        <v>101</v>
      </c>
      <c r="AW79" s="16"/>
      <c r="AX79" s="16"/>
      <c r="AY79" s="16"/>
      <c r="AZ79" s="16" t="str">
        <f t="shared" si="14"/>
        <v>Missing</v>
      </c>
      <c r="BA79" s="4" t="str">
        <f t="shared" ca="1" si="15"/>
        <v>Missing</v>
      </c>
      <c r="BB79" s="4" t="str">
        <f t="shared" si="16"/>
        <v>Missing</v>
      </c>
      <c r="BC79" s="4" t="str">
        <f t="shared" si="17"/>
        <v>OK</v>
      </c>
      <c r="BD79" s="4" t="str">
        <f t="shared" si="18"/>
        <v>Clear</v>
      </c>
      <c r="BE79" s="4" t="str">
        <f t="shared" ca="1" si="19"/>
        <v/>
      </c>
      <c r="BF79" s="4" t="str">
        <f t="shared" ca="1" si="20"/>
        <v/>
      </c>
    </row>
    <row r="80" spans="1:58" x14ac:dyDescent="0.2">
      <c r="A80" s="4" t="s">
        <v>50</v>
      </c>
      <c r="B80" s="4">
        <v>14</v>
      </c>
      <c r="C80" s="4" t="s">
        <v>41</v>
      </c>
      <c r="D80" s="4">
        <v>2517</v>
      </c>
      <c r="E80" s="4" t="s">
        <v>51</v>
      </c>
      <c r="F80" s="4" t="s">
        <v>52</v>
      </c>
      <c r="G80" s="4" t="s">
        <v>493</v>
      </c>
      <c r="H80" s="15" t="s">
        <v>44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 t="s">
        <v>187</v>
      </c>
      <c r="W80" s="16"/>
      <c r="X80" s="16"/>
      <c r="Y80" s="16"/>
      <c r="Z80" s="16" t="s">
        <v>101</v>
      </c>
      <c r="AA80" s="16" t="s">
        <v>101</v>
      </c>
      <c r="AB80" s="16"/>
      <c r="AC80" s="16"/>
      <c r="AD80" s="16"/>
      <c r="AE80" s="16"/>
      <c r="AF80" s="16" t="s">
        <v>101</v>
      </c>
      <c r="AG80" s="16" t="s">
        <v>101</v>
      </c>
      <c r="AH80" s="16" t="s">
        <v>101</v>
      </c>
      <c r="AI80" s="16" t="s">
        <v>101</v>
      </c>
      <c r="AJ80" s="16" t="s">
        <v>101</v>
      </c>
      <c r="AK80" s="16" t="s">
        <v>101</v>
      </c>
      <c r="AL80" s="16" t="s">
        <v>101</v>
      </c>
      <c r="AM80" s="16" t="s">
        <v>101</v>
      </c>
      <c r="AN80" s="16"/>
      <c r="AO80" s="16" t="s">
        <v>188</v>
      </c>
      <c r="AP80" s="16" t="s">
        <v>101</v>
      </c>
      <c r="AQ80" s="16"/>
      <c r="AR80" s="16"/>
      <c r="AS80" s="16"/>
      <c r="AT80" s="16" t="s">
        <v>101</v>
      </c>
      <c r="AU80" s="16"/>
      <c r="AV80" s="16" t="s">
        <v>101</v>
      </c>
      <c r="AW80" s="16"/>
      <c r="AX80" s="16"/>
      <c r="AY80" s="16"/>
      <c r="AZ80" s="16" t="str">
        <f t="shared" si="14"/>
        <v>Missing</v>
      </c>
      <c r="BA80" s="4" t="str">
        <f t="shared" ca="1" si="15"/>
        <v>Missing</v>
      </c>
      <c r="BB80" s="4" t="str">
        <f t="shared" si="16"/>
        <v>Missing</v>
      </c>
      <c r="BC80" s="4" t="str">
        <f t="shared" si="17"/>
        <v>OK</v>
      </c>
      <c r="BD80" s="4" t="str">
        <f t="shared" si="18"/>
        <v>Clear</v>
      </c>
      <c r="BE80" s="4" t="str">
        <f t="shared" ca="1" si="19"/>
        <v/>
      </c>
      <c r="BF80" s="4" t="str">
        <f t="shared" ca="1" si="20"/>
        <v/>
      </c>
    </row>
    <row r="81" spans="1:58" x14ac:dyDescent="0.2">
      <c r="A81" s="4" t="s">
        <v>53</v>
      </c>
      <c r="B81" s="4">
        <v>14</v>
      </c>
      <c r="C81" s="4" t="s">
        <v>41</v>
      </c>
      <c r="D81" s="4">
        <v>2519</v>
      </c>
      <c r="E81" s="4" t="s">
        <v>54</v>
      </c>
      <c r="F81" s="4" t="s">
        <v>55</v>
      </c>
      <c r="G81" s="4" t="s">
        <v>494</v>
      </c>
      <c r="H81" s="15" t="s">
        <v>44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 t="s">
        <v>187</v>
      </c>
      <c r="W81" s="16"/>
      <c r="X81" s="16"/>
      <c r="Y81" s="16"/>
      <c r="Z81" s="16" t="s">
        <v>101</v>
      </c>
      <c r="AA81" s="16" t="s">
        <v>101</v>
      </c>
      <c r="AB81" s="16"/>
      <c r="AC81" s="16"/>
      <c r="AD81" s="16"/>
      <c r="AE81" s="16"/>
      <c r="AF81" s="16" t="s">
        <v>101</v>
      </c>
      <c r="AG81" s="16" t="s">
        <v>101</v>
      </c>
      <c r="AH81" s="16" t="s">
        <v>101</v>
      </c>
      <c r="AI81" s="16" t="s">
        <v>101</v>
      </c>
      <c r="AJ81" s="16" t="s">
        <v>101</v>
      </c>
      <c r="AK81" s="16" t="s">
        <v>101</v>
      </c>
      <c r="AL81" s="16" t="s">
        <v>101</v>
      </c>
      <c r="AM81" s="16" t="s">
        <v>101</v>
      </c>
      <c r="AN81" s="16"/>
      <c r="AO81" s="16" t="s">
        <v>188</v>
      </c>
      <c r="AP81" s="16" t="s">
        <v>101</v>
      </c>
      <c r="AQ81" s="16"/>
      <c r="AR81" s="16"/>
      <c r="AS81" s="16"/>
      <c r="AT81" s="16" t="s">
        <v>101</v>
      </c>
      <c r="AU81" s="16"/>
      <c r="AV81" s="16" t="s">
        <v>101</v>
      </c>
      <c r="AW81" s="16"/>
      <c r="AX81" s="16"/>
      <c r="AY81" s="16"/>
      <c r="AZ81" s="16" t="str">
        <f t="shared" si="14"/>
        <v>Missing</v>
      </c>
      <c r="BA81" s="4" t="str">
        <f t="shared" ca="1" si="15"/>
        <v>Missing</v>
      </c>
      <c r="BB81" s="4" t="str">
        <f t="shared" si="16"/>
        <v>Missing</v>
      </c>
      <c r="BC81" s="4" t="str">
        <f t="shared" si="17"/>
        <v>OK</v>
      </c>
      <c r="BD81" s="4" t="str">
        <f t="shared" si="18"/>
        <v>Clear</v>
      </c>
      <c r="BE81" s="4" t="str">
        <f t="shared" ca="1" si="19"/>
        <v/>
      </c>
      <c r="BF81" s="4" t="str">
        <f t="shared" ca="1" si="20"/>
        <v/>
      </c>
    </row>
    <row r="82" spans="1:58" x14ac:dyDescent="0.2">
      <c r="A82" s="4" t="s">
        <v>56</v>
      </c>
      <c r="B82" s="4">
        <v>14</v>
      </c>
      <c r="C82" s="4" t="s">
        <v>41</v>
      </c>
      <c r="D82" s="4">
        <v>2521</v>
      </c>
      <c r="E82" s="4" t="s">
        <v>57</v>
      </c>
      <c r="F82" s="4" t="s">
        <v>58</v>
      </c>
      <c r="G82" s="4" t="s">
        <v>495</v>
      </c>
      <c r="H82" s="15" t="s">
        <v>44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 t="s">
        <v>187</v>
      </c>
      <c r="W82" s="16"/>
      <c r="X82" s="16"/>
      <c r="Y82" s="16"/>
      <c r="Z82" s="16" t="s">
        <v>101</v>
      </c>
      <c r="AA82" s="16" t="s">
        <v>101</v>
      </c>
      <c r="AB82" s="16"/>
      <c r="AC82" s="16"/>
      <c r="AD82" s="16"/>
      <c r="AE82" s="16"/>
      <c r="AF82" s="16" t="s">
        <v>101</v>
      </c>
      <c r="AG82" s="16" t="s">
        <v>101</v>
      </c>
      <c r="AH82" s="16" t="s">
        <v>101</v>
      </c>
      <c r="AI82" s="16" t="s">
        <v>101</v>
      </c>
      <c r="AJ82" s="16" t="s">
        <v>101</v>
      </c>
      <c r="AK82" s="16" t="s">
        <v>101</v>
      </c>
      <c r="AL82" s="16" t="s">
        <v>101</v>
      </c>
      <c r="AM82" s="16" t="s">
        <v>101</v>
      </c>
      <c r="AN82" s="16"/>
      <c r="AO82" s="16" t="s">
        <v>188</v>
      </c>
      <c r="AP82" s="16" t="s">
        <v>101</v>
      </c>
      <c r="AQ82" s="16"/>
      <c r="AR82" s="16"/>
      <c r="AS82" s="16"/>
      <c r="AT82" s="16" t="s">
        <v>101</v>
      </c>
      <c r="AU82" s="16"/>
      <c r="AV82" s="16" t="s">
        <v>101</v>
      </c>
      <c r="AW82" s="16"/>
      <c r="AX82" s="16"/>
      <c r="AY82" s="16"/>
      <c r="AZ82" s="16" t="str">
        <f t="shared" si="14"/>
        <v>Missing</v>
      </c>
      <c r="BA82" s="4" t="str">
        <f t="shared" ca="1" si="15"/>
        <v>Missing</v>
      </c>
      <c r="BB82" s="4" t="str">
        <f t="shared" si="16"/>
        <v>Missing</v>
      </c>
      <c r="BC82" s="4" t="str">
        <f t="shared" si="17"/>
        <v>OK</v>
      </c>
      <c r="BD82" s="4" t="str">
        <f t="shared" si="18"/>
        <v>Clear</v>
      </c>
      <c r="BE82" s="4" t="str">
        <f t="shared" ca="1" si="19"/>
        <v/>
      </c>
      <c r="BF82" s="4" t="str">
        <f t="shared" ca="1" si="20"/>
        <v/>
      </c>
    </row>
    <row r="83" spans="1:58" x14ac:dyDescent="0.2">
      <c r="A83" s="4" t="s">
        <v>59</v>
      </c>
      <c r="B83" s="4">
        <v>14</v>
      </c>
      <c r="C83" s="4" t="s">
        <v>41</v>
      </c>
      <c r="D83" s="4">
        <v>2523</v>
      </c>
      <c r="E83" s="4" t="s">
        <v>60</v>
      </c>
      <c r="F83" s="4" t="s">
        <v>61</v>
      </c>
      <c r="G83" s="4" t="s">
        <v>496</v>
      </c>
      <c r="H83" s="15" t="s">
        <v>44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 t="s">
        <v>187</v>
      </c>
      <c r="W83" s="16"/>
      <c r="X83" s="16"/>
      <c r="Y83" s="16"/>
      <c r="Z83" s="16" t="s">
        <v>101</v>
      </c>
      <c r="AA83" s="16" t="s">
        <v>101</v>
      </c>
      <c r="AB83" s="16"/>
      <c r="AC83" s="16"/>
      <c r="AD83" s="16"/>
      <c r="AE83" s="16"/>
      <c r="AF83" s="16" t="s">
        <v>101</v>
      </c>
      <c r="AG83" s="16" t="s">
        <v>101</v>
      </c>
      <c r="AH83" s="16" t="s">
        <v>101</v>
      </c>
      <c r="AI83" s="16" t="s">
        <v>101</v>
      </c>
      <c r="AJ83" s="16" t="s">
        <v>101</v>
      </c>
      <c r="AK83" s="16" t="s">
        <v>101</v>
      </c>
      <c r="AL83" s="16" t="s">
        <v>101</v>
      </c>
      <c r="AM83" s="16" t="s">
        <v>101</v>
      </c>
      <c r="AN83" s="16"/>
      <c r="AO83" s="16" t="s">
        <v>188</v>
      </c>
      <c r="AP83" s="16" t="s">
        <v>101</v>
      </c>
      <c r="AQ83" s="16"/>
      <c r="AR83" s="16"/>
      <c r="AS83" s="16"/>
      <c r="AT83" s="16" t="s">
        <v>101</v>
      </c>
      <c r="AU83" s="16"/>
      <c r="AV83" s="16" t="s">
        <v>101</v>
      </c>
      <c r="AW83" s="16"/>
      <c r="AX83" s="16"/>
      <c r="AY83" s="16"/>
      <c r="AZ83" s="16" t="str">
        <f t="shared" si="14"/>
        <v>Missing</v>
      </c>
      <c r="BA83" s="4" t="str">
        <f t="shared" ca="1" si="15"/>
        <v>Missing</v>
      </c>
      <c r="BB83" s="4" t="str">
        <f t="shared" si="16"/>
        <v>Missing</v>
      </c>
      <c r="BC83" s="4" t="str">
        <f t="shared" si="17"/>
        <v>OK</v>
      </c>
      <c r="BD83" s="4" t="str">
        <f t="shared" si="18"/>
        <v>Clear</v>
      </c>
      <c r="BE83" s="4" t="str">
        <f t="shared" ca="1" si="19"/>
        <v/>
      </c>
      <c r="BF83" s="4" t="str">
        <f t="shared" ca="1" si="20"/>
        <v/>
      </c>
    </row>
    <row r="84" spans="1:58" x14ac:dyDescent="0.2">
      <c r="A84" s="3" t="s">
        <v>497</v>
      </c>
      <c r="B84" s="3">
        <v>15</v>
      </c>
      <c r="C84" s="3" t="s">
        <v>451</v>
      </c>
      <c r="D84" s="3">
        <v>2802</v>
      </c>
      <c r="E84" s="3" t="s">
        <v>498</v>
      </c>
      <c r="F84" s="3" t="s">
        <v>499</v>
      </c>
      <c r="G84" s="3" t="s">
        <v>500</v>
      </c>
      <c r="H84" s="4" t="s">
        <v>186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 t="s">
        <v>187</v>
      </c>
      <c r="W84" s="5"/>
      <c r="X84" s="5"/>
      <c r="Y84" s="5"/>
      <c r="Z84" s="5" t="s">
        <v>101</v>
      </c>
      <c r="AA84" s="5" t="s">
        <v>101</v>
      </c>
      <c r="AB84" s="5"/>
      <c r="AC84" s="5"/>
      <c r="AD84" s="5"/>
      <c r="AE84" s="5"/>
      <c r="AF84" s="5" t="s">
        <v>101</v>
      </c>
      <c r="AG84" s="5" t="s">
        <v>101</v>
      </c>
      <c r="AH84" s="5" t="s">
        <v>101</v>
      </c>
      <c r="AI84" s="5" t="s">
        <v>101</v>
      </c>
      <c r="AJ84" s="5" t="s">
        <v>101</v>
      </c>
      <c r="AK84" s="5" t="s">
        <v>101</v>
      </c>
      <c r="AL84" s="5" t="s">
        <v>101</v>
      </c>
      <c r="AM84" s="5" t="s">
        <v>101</v>
      </c>
      <c r="AN84" s="5"/>
      <c r="AO84" s="5" t="s">
        <v>188</v>
      </c>
      <c r="AP84" s="5" t="s">
        <v>101</v>
      </c>
      <c r="AQ84" s="5"/>
      <c r="AR84" s="5"/>
      <c r="AS84" s="5"/>
      <c r="AT84" s="5" t="s">
        <v>101</v>
      </c>
      <c r="AU84" s="5"/>
      <c r="AV84" s="5" t="s">
        <v>101</v>
      </c>
      <c r="AW84" s="5"/>
      <c r="AX84" s="5"/>
      <c r="AY84" s="5"/>
      <c r="AZ84" s="6" t="str">
        <f t="shared" si="14"/>
        <v>Missing</v>
      </c>
      <c r="BA84" s="7" t="str">
        <f t="shared" ca="1" si="15"/>
        <v>Missing</v>
      </c>
      <c r="BB84" s="7" t="str">
        <f t="shared" si="16"/>
        <v>Missing</v>
      </c>
      <c r="BC84" s="7" t="str">
        <f t="shared" si="17"/>
        <v>OK</v>
      </c>
      <c r="BD84" s="7" t="str">
        <f t="shared" si="18"/>
        <v>Clear</v>
      </c>
      <c r="BE84" s="7" t="str">
        <f t="shared" ca="1" si="19"/>
        <v/>
      </c>
      <c r="BF84" s="7" t="str">
        <f t="shared" ca="1" si="20"/>
        <v/>
      </c>
    </row>
    <row r="85" spans="1:58" x14ac:dyDescent="0.2">
      <c r="A85" s="3" t="s">
        <v>501</v>
      </c>
      <c r="B85" s="3">
        <v>15</v>
      </c>
      <c r="C85" s="3" t="s">
        <v>451</v>
      </c>
      <c r="D85" s="3">
        <v>2804</v>
      </c>
      <c r="E85" s="3" t="s">
        <v>502</v>
      </c>
      <c r="F85" s="3" t="s">
        <v>503</v>
      </c>
      <c r="G85" s="3" t="s">
        <v>504</v>
      </c>
      <c r="H85" s="4" t="s">
        <v>186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 t="s">
        <v>187</v>
      </c>
      <c r="W85" s="5"/>
      <c r="X85" s="5"/>
      <c r="Y85" s="5"/>
      <c r="Z85" s="5" t="s">
        <v>101</v>
      </c>
      <c r="AA85" s="5" t="s">
        <v>101</v>
      </c>
      <c r="AB85" s="5"/>
      <c r="AC85" s="5"/>
      <c r="AD85" s="5"/>
      <c r="AE85" s="5"/>
      <c r="AF85" s="5" t="s">
        <v>101</v>
      </c>
      <c r="AG85" s="5" t="s">
        <v>101</v>
      </c>
      <c r="AH85" s="5" t="s">
        <v>101</v>
      </c>
      <c r="AI85" s="5" t="s">
        <v>101</v>
      </c>
      <c r="AJ85" s="5" t="s">
        <v>101</v>
      </c>
      <c r="AK85" s="5" t="s">
        <v>101</v>
      </c>
      <c r="AL85" s="5" t="s">
        <v>101</v>
      </c>
      <c r="AM85" s="5" t="s">
        <v>101</v>
      </c>
      <c r="AN85" s="5"/>
      <c r="AO85" s="5" t="s">
        <v>188</v>
      </c>
      <c r="AP85" s="5" t="s">
        <v>101</v>
      </c>
      <c r="AQ85" s="5"/>
      <c r="AR85" s="5"/>
      <c r="AS85" s="5"/>
      <c r="AT85" s="5" t="s">
        <v>101</v>
      </c>
      <c r="AU85" s="5"/>
      <c r="AV85" s="5" t="s">
        <v>101</v>
      </c>
      <c r="AW85" s="5"/>
      <c r="AX85" s="5"/>
      <c r="AY85" s="5"/>
      <c r="AZ85" s="6" t="str">
        <f t="shared" si="14"/>
        <v>Missing</v>
      </c>
      <c r="BA85" s="7" t="str">
        <f t="shared" ca="1" si="15"/>
        <v>Missing</v>
      </c>
      <c r="BB85" s="7" t="str">
        <f t="shared" si="16"/>
        <v>Missing</v>
      </c>
      <c r="BC85" s="7" t="str">
        <f t="shared" si="17"/>
        <v>OK</v>
      </c>
      <c r="BD85" s="7" t="str">
        <f t="shared" si="18"/>
        <v>Clear</v>
      </c>
      <c r="BE85" s="7" t="str">
        <f t="shared" ca="1" si="19"/>
        <v/>
      </c>
      <c r="BF85" s="7" t="str">
        <f t="shared" ca="1" si="20"/>
        <v/>
      </c>
    </row>
    <row r="86" spans="1:58" x14ac:dyDescent="0.2">
      <c r="A86" s="3" t="s">
        <v>505</v>
      </c>
      <c r="B86" s="3">
        <v>15</v>
      </c>
      <c r="C86" s="3" t="s">
        <v>451</v>
      </c>
      <c r="D86" s="3">
        <v>2806</v>
      </c>
      <c r="E86" s="3" t="s">
        <v>506</v>
      </c>
      <c r="F86" s="3" t="s">
        <v>507</v>
      </c>
      <c r="G86" s="3" t="s">
        <v>508</v>
      </c>
      <c r="H86" s="4" t="s">
        <v>186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 t="s">
        <v>187</v>
      </c>
      <c r="W86" s="5"/>
      <c r="X86" s="5"/>
      <c r="Y86" s="5"/>
      <c r="Z86" s="5" t="s">
        <v>101</v>
      </c>
      <c r="AA86" s="5" t="s">
        <v>101</v>
      </c>
      <c r="AB86" s="5"/>
      <c r="AC86" s="5"/>
      <c r="AD86" s="5"/>
      <c r="AE86" s="5"/>
      <c r="AF86" s="5" t="s">
        <v>101</v>
      </c>
      <c r="AG86" s="5" t="s">
        <v>101</v>
      </c>
      <c r="AH86" s="5" t="s">
        <v>101</v>
      </c>
      <c r="AI86" s="5" t="s">
        <v>101</v>
      </c>
      <c r="AJ86" s="5" t="s">
        <v>101</v>
      </c>
      <c r="AK86" s="5" t="s">
        <v>101</v>
      </c>
      <c r="AL86" s="5" t="s">
        <v>101</v>
      </c>
      <c r="AM86" s="5" t="s">
        <v>101</v>
      </c>
      <c r="AN86" s="5"/>
      <c r="AO86" s="5" t="s">
        <v>188</v>
      </c>
      <c r="AP86" s="5" t="s">
        <v>101</v>
      </c>
      <c r="AQ86" s="5"/>
      <c r="AR86" s="5"/>
      <c r="AS86" s="5"/>
      <c r="AT86" s="5" t="s">
        <v>101</v>
      </c>
      <c r="AU86" s="5"/>
      <c r="AV86" s="5" t="s">
        <v>101</v>
      </c>
      <c r="AW86" s="5"/>
      <c r="AX86" s="5"/>
      <c r="AY86" s="5"/>
      <c r="AZ86" s="6" t="str">
        <f t="shared" si="14"/>
        <v>Missing</v>
      </c>
      <c r="BA86" s="7" t="str">
        <f t="shared" ca="1" si="15"/>
        <v>Missing</v>
      </c>
      <c r="BB86" s="7" t="str">
        <f t="shared" si="16"/>
        <v>Missing</v>
      </c>
      <c r="BC86" s="7" t="str">
        <f t="shared" si="17"/>
        <v>OK</v>
      </c>
      <c r="BD86" s="7" t="str">
        <f t="shared" si="18"/>
        <v>Clear</v>
      </c>
      <c r="BE86" s="7" t="str">
        <f t="shared" ca="1" si="19"/>
        <v/>
      </c>
      <c r="BF86" s="7" t="str">
        <f t="shared" ca="1" si="20"/>
        <v/>
      </c>
    </row>
    <row r="87" spans="1:58" x14ac:dyDescent="0.2">
      <c r="A87" s="3" t="s">
        <v>509</v>
      </c>
      <c r="B87" s="3">
        <v>15</v>
      </c>
      <c r="C87" s="3" t="s">
        <v>451</v>
      </c>
      <c r="D87" s="3">
        <v>2808</v>
      </c>
      <c r="E87" s="3" t="s">
        <v>510</v>
      </c>
      <c r="F87" s="3" t="s">
        <v>511</v>
      </c>
      <c r="G87" s="3" t="s">
        <v>512</v>
      </c>
      <c r="H87" s="4" t="s">
        <v>186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 t="s">
        <v>187</v>
      </c>
      <c r="W87" s="5"/>
      <c r="X87" s="5"/>
      <c r="Y87" s="5"/>
      <c r="Z87" s="5" t="s">
        <v>101</v>
      </c>
      <c r="AA87" s="5" t="s">
        <v>101</v>
      </c>
      <c r="AB87" s="5"/>
      <c r="AC87" s="5"/>
      <c r="AD87" s="5"/>
      <c r="AE87" s="5"/>
      <c r="AF87" s="5" t="s">
        <v>101</v>
      </c>
      <c r="AG87" s="5" t="s">
        <v>101</v>
      </c>
      <c r="AH87" s="5" t="s">
        <v>101</v>
      </c>
      <c r="AI87" s="5" t="s">
        <v>101</v>
      </c>
      <c r="AJ87" s="5" t="s">
        <v>101</v>
      </c>
      <c r="AK87" s="5" t="s">
        <v>101</v>
      </c>
      <c r="AL87" s="5" t="s">
        <v>101</v>
      </c>
      <c r="AM87" s="5" t="s">
        <v>101</v>
      </c>
      <c r="AN87" s="5"/>
      <c r="AO87" s="5" t="s">
        <v>188</v>
      </c>
      <c r="AP87" s="5" t="s">
        <v>101</v>
      </c>
      <c r="AQ87" s="5"/>
      <c r="AR87" s="5"/>
      <c r="AS87" s="5"/>
      <c r="AT87" s="5" t="s">
        <v>101</v>
      </c>
      <c r="AU87" s="5"/>
      <c r="AV87" s="5" t="s">
        <v>101</v>
      </c>
      <c r="AW87" s="5"/>
      <c r="AX87" s="5"/>
      <c r="AY87" s="5"/>
      <c r="AZ87" s="6" t="str">
        <f t="shared" si="14"/>
        <v>Missing</v>
      </c>
      <c r="BA87" s="7" t="str">
        <f t="shared" ca="1" si="15"/>
        <v>Missing</v>
      </c>
      <c r="BB87" s="7" t="str">
        <f t="shared" si="16"/>
        <v>Missing</v>
      </c>
      <c r="BC87" s="7" t="str">
        <f t="shared" si="17"/>
        <v>OK</v>
      </c>
      <c r="BD87" s="7" t="str">
        <f t="shared" si="18"/>
        <v>Clear</v>
      </c>
      <c r="BE87" s="7" t="str">
        <f t="shared" ca="1" si="19"/>
        <v/>
      </c>
      <c r="BF87" s="7" t="str">
        <f t="shared" ca="1" si="20"/>
        <v/>
      </c>
    </row>
    <row r="88" spans="1:58" x14ac:dyDescent="0.2">
      <c r="A88" s="3" t="s">
        <v>513</v>
      </c>
      <c r="B88" s="3">
        <v>15</v>
      </c>
      <c r="C88" s="3" t="s">
        <v>451</v>
      </c>
      <c r="D88" s="3">
        <v>2810</v>
      </c>
      <c r="E88" s="3" t="s">
        <v>514</v>
      </c>
      <c r="F88" s="3" t="s">
        <v>515</v>
      </c>
      <c r="G88" s="3" t="s">
        <v>516</v>
      </c>
      <c r="H88" s="4" t="s">
        <v>186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 t="s">
        <v>187</v>
      </c>
      <c r="W88" s="5"/>
      <c r="X88" s="5"/>
      <c r="Y88" s="5"/>
      <c r="Z88" s="5" t="s">
        <v>101</v>
      </c>
      <c r="AA88" s="5" t="s">
        <v>101</v>
      </c>
      <c r="AB88" s="5"/>
      <c r="AC88" s="5"/>
      <c r="AD88" s="5"/>
      <c r="AE88" s="5"/>
      <c r="AF88" s="5" t="s">
        <v>101</v>
      </c>
      <c r="AG88" s="5" t="s">
        <v>101</v>
      </c>
      <c r="AH88" s="5" t="s">
        <v>101</v>
      </c>
      <c r="AI88" s="5" t="s">
        <v>101</v>
      </c>
      <c r="AJ88" s="5" t="s">
        <v>101</v>
      </c>
      <c r="AK88" s="5" t="s">
        <v>101</v>
      </c>
      <c r="AL88" s="5" t="s">
        <v>101</v>
      </c>
      <c r="AM88" s="5" t="s">
        <v>101</v>
      </c>
      <c r="AN88" s="5"/>
      <c r="AO88" s="5" t="s">
        <v>188</v>
      </c>
      <c r="AP88" s="5" t="s">
        <v>101</v>
      </c>
      <c r="AQ88" s="5"/>
      <c r="AR88" s="5"/>
      <c r="AS88" s="5"/>
      <c r="AT88" s="5" t="s">
        <v>101</v>
      </c>
      <c r="AU88" s="5"/>
      <c r="AV88" s="5" t="s">
        <v>101</v>
      </c>
      <c r="AW88" s="5"/>
      <c r="AX88" s="5"/>
      <c r="AY88" s="5"/>
      <c r="AZ88" s="6" t="str">
        <f t="shared" si="14"/>
        <v>Missing</v>
      </c>
      <c r="BA88" s="7" t="str">
        <f t="shared" ca="1" si="15"/>
        <v>Missing</v>
      </c>
      <c r="BB88" s="7" t="str">
        <f t="shared" si="16"/>
        <v>Missing</v>
      </c>
      <c r="BC88" s="7" t="str">
        <f t="shared" si="17"/>
        <v>OK</v>
      </c>
      <c r="BD88" s="7" t="str">
        <f t="shared" si="18"/>
        <v>Clear</v>
      </c>
      <c r="BE88" s="7" t="str">
        <f t="shared" ca="1" si="19"/>
        <v/>
      </c>
      <c r="BF88" s="7" t="str">
        <f t="shared" ca="1" si="20"/>
        <v/>
      </c>
    </row>
    <row r="89" spans="1:58" x14ac:dyDescent="0.2">
      <c r="A89" s="3" t="s">
        <v>517</v>
      </c>
      <c r="B89" s="3">
        <v>16</v>
      </c>
      <c r="C89" s="3" t="s">
        <v>63</v>
      </c>
      <c r="D89" s="3">
        <v>2603</v>
      </c>
      <c r="E89" s="3" t="s">
        <v>518</v>
      </c>
      <c r="F89" s="3" t="s">
        <v>519</v>
      </c>
      <c r="G89" s="3" t="s">
        <v>520</v>
      </c>
      <c r="H89" s="4" t="s">
        <v>186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 t="s">
        <v>187</v>
      </c>
      <c r="W89" s="5"/>
      <c r="X89" s="5"/>
      <c r="Y89" s="5"/>
      <c r="Z89" s="5" t="s">
        <v>101</v>
      </c>
      <c r="AA89" s="5" t="s">
        <v>101</v>
      </c>
      <c r="AB89" s="5"/>
      <c r="AC89" s="5"/>
      <c r="AD89" s="5"/>
      <c r="AE89" s="5"/>
      <c r="AF89" s="5" t="s">
        <v>101</v>
      </c>
      <c r="AG89" s="5" t="s">
        <v>101</v>
      </c>
      <c r="AH89" s="5" t="s">
        <v>101</v>
      </c>
      <c r="AI89" s="5" t="s">
        <v>101</v>
      </c>
      <c r="AJ89" s="5" t="s">
        <v>101</v>
      </c>
      <c r="AK89" s="5" t="s">
        <v>101</v>
      </c>
      <c r="AL89" s="5" t="s">
        <v>101</v>
      </c>
      <c r="AM89" s="5" t="s">
        <v>101</v>
      </c>
      <c r="AN89" s="5"/>
      <c r="AO89" s="5" t="s">
        <v>188</v>
      </c>
      <c r="AP89" s="5" t="s">
        <v>101</v>
      </c>
      <c r="AQ89" s="5"/>
      <c r="AR89" s="5"/>
      <c r="AS89" s="5"/>
      <c r="AT89" s="5" t="s">
        <v>101</v>
      </c>
      <c r="AU89" s="5"/>
      <c r="AV89" s="5" t="s">
        <v>101</v>
      </c>
      <c r="AW89" s="5"/>
      <c r="AX89" s="5"/>
      <c r="AY89" s="5"/>
      <c r="AZ89" s="6" t="str">
        <f t="shared" si="14"/>
        <v>Missing</v>
      </c>
      <c r="BA89" s="7" t="str">
        <f t="shared" ca="1" si="15"/>
        <v>Missing</v>
      </c>
      <c r="BB89" s="7" t="str">
        <f t="shared" si="16"/>
        <v>Missing</v>
      </c>
      <c r="BC89" s="7" t="str">
        <f t="shared" si="17"/>
        <v>OK</v>
      </c>
      <c r="BD89" s="7" t="str">
        <f t="shared" si="18"/>
        <v>Clear</v>
      </c>
      <c r="BE89" s="7" t="str">
        <f t="shared" ca="1" si="19"/>
        <v/>
      </c>
      <c r="BF89" s="7" t="str">
        <f t="shared" ca="1" si="20"/>
        <v/>
      </c>
    </row>
    <row r="90" spans="1:58" x14ac:dyDescent="0.2">
      <c r="A90" s="3" t="s">
        <v>521</v>
      </c>
      <c r="B90" s="3">
        <v>16</v>
      </c>
      <c r="C90" s="3" t="s">
        <v>63</v>
      </c>
      <c r="D90" s="3">
        <v>2605</v>
      </c>
      <c r="E90" s="3" t="s">
        <v>522</v>
      </c>
      <c r="F90" s="3" t="s">
        <v>523</v>
      </c>
      <c r="G90" s="3" t="s">
        <v>524</v>
      </c>
      <c r="H90" s="4" t="s">
        <v>186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 t="s">
        <v>187</v>
      </c>
      <c r="W90" s="5"/>
      <c r="X90" s="5"/>
      <c r="Y90" s="5"/>
      <c r="Z90" s="5" t="s">
        <v>101</v>
      </c>
      <c r="AA90" s="5" t="s">
        <v>101</v>
      </c>
      <c r="AB90" s="5"/>
      <c r="AC90" s="5"/>
      <c r="AD90" s="5"/>
      <c r="AE90" s="5"/>
      <c r="AF90" s="5" t="s">
        <v>101</v>
      </c>
      <c r="AG90" s="5" t="s">
        <v>101</v>
      </c>
      <c r="AH90" s="5" t="s">
        <v>101</v>
      </c>
      <c r="AI90" s="5" t="s">
        <v>101</v>
      </c>
      <c r="AJ90" s="5" t="s">
        <v>101</v>
      </c>
      <c r="AK90" s="5" t="s">
        <v>101</v>
      </c>
      <c r="AL90" s="5" t="s">
        <v>101</v>
      </c>
      <c r="AM90" s="5" t="s">
        <v>101</v>
      </c>
      <c r="AN90" s="5"/>
      <c r="AO90" s="5" t="s">
        <v>188</v>
      </c>
      <c r="AP90" s="5" t="s">
        <v>101</v>
      </c>
      <c r="AQ90" s="5"/>
      <c r="AR90" s="5"/>
      <c r="AS90" s="5"/>
      <c r="AT90" s="5" t="s">
        <v>101</v>
      </c>
      <c r="AU90" s="5"/>
      <c r="AV90" s="5" t="s">
        <v>101</v>
      </c>
      <c r="AW90" s="5"/>
      <c r="AX90" s="5"/>
      <c r="AY90" s="5"/>
      <c r="AZ90" s="6" t="str">
        <f t="shared" si="14"/>
        <v>Missing</v>
      </c>
      <c r="BA90" s="7" t="str">
        <f t="shared" ca="1" si="15"/>
        <v>Missing</v>
      </c>
      <c r="BB90" s="7" t="str">
        <f t="shared" si="16"/>
        <v>Missing</v>
      </c>
      <c r="BC90" s="7" t="str">
        <f t="shared" si="17"/>
        <v>OK</v>
      </c>
      <c r="BD90" s="7" t="str">
        <f t="shared" si="18"/>
        <v>Clear</v>
      </c>
      <c r="BE90" s="7" t="str">
        <f t="shared" ca="1" si="19"/>
        <v/>
      </c>
      <c r="BF90" s="7" t="str">
        <f t="shared" ca="1" si="20"/>
        <v/>
      </c>
    </row>
    <row r="91" spans="1:58" x14ac:dyDescent="0.2">
      <c r="A91" s="3" t="s">
        <v>525</v>
      </c>
      <c r="B91" s="3">
        <v>16</v>
      </c>
      <c r="C91" s="3" t="s">
        <v>63</v>
      </c>
      <c r="D91" s="3">
        <v>2607</v>
      </c>
      <c r="E91" s="3" t="s">
        <v>526</v>
      </c>
      <c r="F91" s="3" t="s">
        <v>527</v>
      </c>
      <c r="G91" s="3" t="s">
        <v>528</v>
      </c>
      <c r="H91" s="4" t="s">
        <v>186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 t="s">
        <v>187</v>
      </c>
      <c r="W91" s="5"/>
      <c r="X91" s="5"/>
      <c r="Y91" s="5"/>
      <c r="Z91" s="5" t="s">
        <v>101</v>
      </c>
      <c r="AA91" s="5" t="s">
        <v>101</v>
      </c>
      <c r="AB91" s="5"/>
      <c r="AC91" s="5"/>
      <c r="AD91" s="5"/>
      <c r="AE91" s="5"/>
      <c r="AF91" s="5" t="s">
        <v>101</v>
      </c>
      <c r="AG91" s="5" t="s">
        <v>101</v>
      </c>
      <c r="AH91" s="5" t="s">
        <v>101</v>
      </c>
      <c r="AI91" s="5" t="s">
        <v>101</v>
      </c>
      <c r="AJ91" s="5" t="s">
        <v>101</v>
      </c>
      <c r="AK91" s="5" t="s">
        <v>101</v>
      </c>
      <c r="AL91" s="5" t="s">
        <v>101</v>
      </c>
      <c r="AM91" s="5" t="s">
        <v>101</v>
      </c>
      <c r="AN91" s="5"/>
      <c r="AO91" s="5" t="s">
        <v>188</v>
      </c>
      <c r="AP91" s="5" t="s">
        <v>101</v>
      </c>
      <c r="AQ91" s="5"/>
      <c r="AR91" s="5"/>
      <c r="AS91" s="5"/>
      <c r="AT91" s="5" t="s">
        <v>101</v>
      </c>
      <c r="AU91" s="5"/>
      <c r="AV91" s="5" t="s">
        <v>101</v>
      </c>
      <c r="AW91" s="5"/>
      <c r="AX91" s="5"/>
      <c r="AY91" s="5"/>
      <c r="AZ91" s="6" t="str">
        <f t="shared" si="14"/>
        <v>Missing</v>
      </c>
      <c r="BA91" s="7" t="str">
        <f t="shared" ca="1" si="15"/>
        <v>Missing</v>
      </c>
      <c r="BB91" s="7" t="str">
        <f t="shared" si="16"/>
        <v>Missing</v>
      </c>
      <c r="BC91" s="7" t="str">
        <f t="shared" si="17"/>
        <v>OK</v>
      </c>
      <c r="BD91" s="7" t="str">
        <f t="shared" si="18"/>
        <v>Clear</v>
      </c>
      <c r="BE91" s="7" t="str">
        <f t="shared" ca="1" si="19"/>
        <v/>
      </c>
      <c r="BF91" s="7" t="str">
        <f t="shared" ca="1" si="20"/>
        <v/>
      </c>
    </row>
    <row r="92" spans="1:58" x14ac:dyDescent="0.2">
      <c r="A92" s="3" t="s">
        <v>529</v>
      </c>
      <c r="B92" s="3">
        <v>16</v>
      </c>
      <c r="C92" s="3" t="s">
        <v>63</v>
      </c>
      <c r="D92" s="3">
        <v>2609</v>
      </c>
      <c r="E92" s="3" t="s">
        <v>530</v>
      </c>
      <c r="F92" s="3" t="s">
        <v>531</v>
      </c>
      <c r="G92" s="3" t="s">
        <v>532</v>
      </c>
      <c r="H92" s="4" t="s">
        <v>186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 t="s">
        <v>187</v>
      </c>
      <c r="W92" s="5"/>
      <c r="X92" s="5"/>
      <c r="Y92" s="5"/>
      <c r="Z92" s="5" t="s">
        <v>101</v>
      </c>
      <c r="AA92" s="5" t="s">
        <v>101</v>
      </c>
      <c r="AB92" s="5"/>
      <c r="AC92" s="5"/>
      <c r="AD92" s="5"/>
      <c r="AE92" s="5"/>
      <c r="AF92" s="5" t="s">
        <v>101</v>
      </c>
      <c r="AG92" s="5" t="s">
        <v>101</v>
      </c>
      <c r="AH92" s="5" t="s">
        <v>101</v>
      </c>
      <c r="AI92" s="5" t="s">
        <v>101</v>
      </c>
      <c r="AJ92" s="5" t="s">
        <v>101</v>
      </c>
      <c r="AK92" s="5" t="s">
        <v>101</v>
      </c>
      <c r="AL92" s="5" t="s">
        <v>101</v>
      </c>
      <c r="AM92" s="5" t="s">
        <v>101</v>
      </c>
      <c r="AN92" s="5"/>
      <c r="AO92" s="5" t="s">
        <v>188</v>
      </c>
      <c r="AP92" s="5" t="s">
        <v>101</v>
      </c>
      <c r="AQ92" s="5"/>
      <c r="AR92" s="5"/>
      <c r="AS92" s="5"/>
      <c r="AT92" s="5" t="s">
        <v>101</v>
      </c>
      <c r="AU92" s="5"/>
      <c r="AV92" s="5" t="s">
        <v>101</v>
      </c>
      <c r="AW92" s="5"/>
      <c r="AX92" s="5"/>
      <c r="AY92" s="5"/>
      <c r="AZ92" s="6" t="str">
        <f t="shared" si="14"/>
        <v>Missing</v>
      </c>
      <c r="BA92" s="7" t="str">
        <f t="shared" ca="1" si="15"/>
        <v>Missing</v>
      </c>
      <c r="BB92" s="7" t="str">
        <f t="shared" si="16"/>
        <v>Missing</v>
      </c>
      <c r="BC92" s="7" t="str">
        <f t="shared" si="17"/>
        <v>OK</v>
      </c>
      <c r="BD92" s="7" t="str">
        <f t="shared" si="18"/>
        <v>Clear</v>
      </c>
      <c r="BE92" s="7" t="str">
        <f t="shared" ca="1" si="19"/>
        <v/>
      </c>
      <c r="BF92" s="7" t="str">
        <f t="shared" ca="1" si="20"/>
        <v/>
      </c>
    </row>
    <row r="93" spans="1:58" x14ac:dyDescent="0.2">
      <c r="A93" s="3" t="s">
        <v>533</v>
      </c>
      <c r="B93" s="3">
        <v>16</v>
      </c>
      <c r="C93" s="3" t="s">
        <v>63</v>
      </c>
      <c r="D93" s="3">
        <v>2611</v>
      </c>
      <c r="E93" s="3" t="s">
        <v>534</v>
      </c>
      <c r="F93" s="3" t="s">
        <v>535</v>
      </c>
      <c r="G93" s="3" t="s">
        <v>536</v>
      </c>
      <c r="H93" s="4" t="s">
        <v>186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 t="s">
        <v>187</v>
      </c>
      <c r="W93" s="5"/>
      <c r="X93" s="5"/>
      <c r="Y93" s="5"/>
      <c r="Z93" s="5" t="s">
        <v>101</v>
      </c>
      <c r="AA93" s="5" t="s">
        <v>101</v>
      </c>
      <c r="AB93" s="5"/>
      <c r="AC93" s="5"/>
      <c r="AD93" s="5"/>
      <c r="AE93" s="5"/>
      <c r="AF93" s="5" t="s">
        <v>101</v>
      </c>
      <c r="AG93" s="5" t="s">
        <v>101</v>
      </c>
      <c r="AH93" s="5" t="s">
        <v>101</v>
      </c>
      <c r="AI93" s="5" t="s">
        <v>101</v>
      </c>
      <c r="AJ93" s="5" t="s">
        <v>101</v>
      </c>
      <c r="AK93" s="5" t="s">
        <v>101</v>
      </c>
      <c r="AL93" s="5" t="s">
        <v>101</v>
      </c>
      <c r="AM93" s="5" t="s">
        <v>101</v>
      </c>
      <c r="AN93" s="5"/>
      <c r="AO93" s="5" t="s">
        <v>188</v>
      </c>
      <c r="AP93" s="5" t="s">
        <v>101</v>
      </c>
      <c r="AQ93" s="5"/>
      <c r="AR93" s="5"/>
      <c r="AS93" s="5"/>
      <c r="AT93" s="5" t="s">
        <v>101</v>
      </c>
      <c r="AU93" s="5"/>
      <c r="AV93" s="5" t="s">
        <v>101</v>
      </c>
      <c r="AW93" s="5"/>
      <c r="AX93" s="5"/>
      <c r="AY93" s="5"/>
      <c r="AZ93" s="6" t="str">
        <f t="shared" si="14"/>
        <v>Missing</v>
      </c>
      <c r="BA93" s="7" t="str">
        <f t="shared" ca="1" si="15"/>
        <v>Missing</v>
      </c>
      <c r="BB93" s="7" t="str">
        <f t="shared" si="16"/>
        <v>Missing</v>
      </c>
      <c r="BC93" s="7" t="str">
        <f t="shared" si="17"/>
        <v>OK</v>
      </c>
      <c r="BD93" s="7" t="str">
        <f t="shared" si="18"/>
        <v>Clear</v>
      </c>
      <c r="BE93" s="7" t="str">
        <f t="shared" ca="1" si="19"/>
        <v/>
      </c>
      <c r="BF93" s="7" t="str">
        <f t="shared" ca="1" si="20"/>
        <v/>
      </c>
    </row>
    <row r="94" spans="1:58" x14ac:dyDescent="0.2">
      <c r="A94" s="4" t="s">
        <v>62</v>
      </c>
      <c r="B94" s="4">
        <v>17</v>
      </c>
      <c r="C94" s="4" t="s">
        <v>63</v>
      </c>
      <c r="D94" s="4">
        <v>2613</v>
      </c>
      <c r="E94" s="4" t="s">
        <v>64</v>
      </c>
      <c r="F94" s="4" t="s">
        <v>65</v>
      </c>
      <c r="G94" s="4" t="s">
        <v>537</v>
      </c>
      <c r="H94" s="15" t="s">
        <v>44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 t="s">
        <v>187</v>
      </c>
      <c r="W94" s="16"/>
      <c r="X94" s="16"/>
      <c r="Y94" s="16"/>
      <c r="Z94" s="16" t="s">
        <v>101</v>
      </c>
      <c r="AA94" s="16" t="s">
        <v>101</v>
      </c>
      <c r="AB94" s="16"/>
      <c r="AC94" s="16"/>
      <c r="AD94" s="16"/>
      <c r="AE94" s="16"/>
      <c r="AF94" s="16" t="s">
        <v>101</v>
      </c>
      <c r="AG94" s="16" t="s">
        <v>101</v>
      </c>
      <c r="AH94" s="16" t="s">
        <v>101</v>
      </c>
      <c r="AI94" s="16" t="s">
        <v>101</v>
      </c>
      <c r="AJ94" s="16" t="s">
        <v>101</v>
      </c>
      <c r="AK94" s="16" t="s">
        <v>101</v>
      </c>
      <c r="AL94" s="16" t="s">
        <v>101</v>
      </c>
      <c r="AM94" s="16" t="s">
        <v>101</v>
      </c>
      <c r="AN94" s="16"/>
      <c r="AO94" s="16" t="s">
        <v>188</v>
      </c>
      <c r="AP94" s="16" t="s">
        <v>101</v>
      </c>
      <c r="AQ94" s="16"/>
      <c r="AR94" s="16"/>
      <c r="AS94" s="16"/>
      <c r="AT94" s="16" t="s">
        <v>101</v>
      </c>
      <c r="AU94" s="16"/>
      <c r="AV94" s="16" t="s">
        <v>101</v>
      </c>
      <c r="AW94" s="16"/>
      <c r="AX94" s="16"/>
      <c r="AY94" s="16"/>
      <c r="AZ94" s="16" t="str">
        <f t="shared" si="14"/>
        <v>Missing</v>
      </c>
      <c r="BA94" s="4" t="str">
        <f t="shared" ca="1" si="15"/>
        <v>Missing</v>
      </c>
      <c r="BB94" s="4" t="str">
        <f t="shared" si="16"/>
        <v>Missing</v>
      </c>
      <c r="BC94" s="4" t="str">
        <f t="shared" si="17"/>
        <v>OK</v>
      </c>
      <c r="BD94" s="4" t="str">
        <f t="shared" si="18"/>
        <v>Clear</v>
      </c>
      <c r="BE94" s="4" t="str">
        <f t="shared" ca="1" si="19"/>
        <v/>
      </c>
      <c r="BF94" s="4" t="str">
        <f t="shared" ca="1" si="20"/>
        <v/>
      </c>
    </row>
    <row r="95" spans="1:58" x14ac:dyDescent="0.2">
      <c r="A95" s="4" t="s">
        <v>66</v>
      </c>
      <c r="B95" s="4">
        <v>17</v>
      </c>
      <c r="C95" s="4" t="s">
        <v>63</v>
      </c>
      <c r="D95" s="4">
        <v>2615</v>
      </c>
      <c r="E95" s="4" t="s">
        <v>67</v>
      </c>
      <c r="F95" s="4" t="s">
        <v>68</v>
      </c>
      <c r="G95" s="4" t="s">
        <v>538</v>
      </c>
      <c r="H95" s="15" t="s">
        <v>44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 t="s">
        <v>187</v>
      </c>
      <c r="W95" s="16"/>
      <c r="X95" s="16"/>
      <c r="Y95" s="16"/>
      <c r="Z95" s="16" t="s">
        <v>101</v>
      </c>
      <c r="AA95" s="16" t="s">
        <v>101</v>
      </c>
      <c r="AB95" s="16"/>
      <c r="AC95" s="16"/>
      <c r="AD95" s="16"/>
      <c r="AE95" s="16"/>
      <c r="AF95" s="16" t="s">
        <v>101</v>
      </c>
      <c r="AG95" s="16" t="s">
        <v>101</v>
      </c>
      <c r="AH95" s="16" t="s">
        <v>101</v>
      </c>
      <c r="AI95" s="16" t="s">
        <v>101</v>
      </c>
      <c r="AJ95" s="16" t="s">
        <v>101</v>
      </c>
      <c r="AK95" s="16" t="s">
        <v>101</v>
      </c>
      <c r="AL95" s="16" t="s">
        <v>101</v>
      </c>
      <c r="AM95" s="16" t="s">
        <v>101</v>
      </c>
      <c r="AN95" s="16"/>
      <c r="AO95" s="16" t="s">
        <v>188</v>
      </c>
      <c r="AP95" s="16" t="s">
        <v>101</v>
      </c>
      <c r="AQ95" s="16"/>
      <c r="AR95" s="16"/>
      <c r="AS95" s="16"/>
      <c r="AT95" s="16" t="s">
        <v>101</v>
      </c>
      <c r="AU95" s="16"/>
      <c r="AV95" s="16" t="s">
        <v>101</v>
      </c>
      <c r="AW95" s="16"/>
      <c r="AX95" s="16"/>
      <c r="AY95" s="16"/>
      <c r="AZ95" s="16" t="str">
        <f t="shared" si="14"/>
        <v>Missing</v>
      </c>
      <c r="BA95" s="4" t="str">
        <f t="shared" ca="1" si="15"/>
        <v>Missing</v>
      </c>
      <c r="BB95" s="4" t="str">
        <f t="shared" si="16"/>
        <v>Missing</v>
      </c>
      <c r="BC95" s="4" t="str">
        <f t="shared" si="17"/>
        <v>OK</v>
      </c>
      <c r="BD95" s="4" t="str">
        <f t="shared" si="18"/>
        <v>Clear</v>
      </c>
      <c r="BE95" s="4" t="str">
        <f t="shared" ca="1" si="19"/>
        <v/>
      </c>
      <c r="BF95" s="4" t="str">
        <f t="shared" ca="1" si="20"/>
        <v/>
      </c>
    </row>
    <row r="96" spans="1:58" x14ac:dyDescent="0.2">
      <c r="A96" s="4" t="s">
        <v>69</v>
      </c>
      <c r="B96" s="4">
        <v>17</v>
      </c>
      <c r="C96" s="4" t="s">
        <v>63</v>
      </c>
      <c r="D96" s="4">
        <v>2617</v>
      </c>
      <c r="E96" s="4" t="s">
        <v>70</v>
      </c>
      <c r="F96" s="4" t="s">
        <v>71</v>
      </c>
      <c r="G96" s="4" t="s">
        <v>539</v>
      </c>
      <c r="H96" s="15" t="s">
        <v>44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 t="s">
        <v>187</v>
      </c>
      <c r="W96" s="16"/>
      <c r="X96" s="16"/>
      <c r="Y96" s="16"/>
      <c r="Z96" s="16" t="s">
        <v>101</v>
      </c>
      <c r="AA96" s="16" t="s">
        <v>101</v>
      </c>
      <c r="AB96" s="16"/>
      <c r="AC96" s="16"/>
      <c r="AD96" s="16"/>
      <c r="AE96" s="16"/>
      <c r="AF96" s="16" t="s">
        <v>101</v>
      </c>
      <c r="AG96" s="16" t="s">
        <v>101</v>
      </c>
      <c r="AH96" s="16" t="s">
        <v>101</v>
      </c>
      <c r="AI96" s="16" t="s">
        <v>101</v>
      </c>
      <c r="AJ96" s="16" t="s">
        <v>101</v>
      </c>
      <c r="AK96" s="16" t="s">
        <v>101</v>
      </c>
      <c r="AL96" s="16" t="s">
        <v>101</v>
      </c>
      <c r="AM96" s="16" t="s">
        <v>101</v>
      </c>
      <c r="AN96" s="16"/>
      <c r="AO96" s="16" t="s">
        <v>188</v>
      </c>
      <c r="AP96" s="16" t="s">
        <v>101</v>
      </c>
      <c r="AQ96" s="16"/>
      <c r="AR96" s="16"/>
      <c r="AS96" s="16"/>
      <c r="AT96" s="16" t="s">
        <v>101</v>
      </c>
      <c r="AU96" s="16"/>
      <c r="AV96" s="16" t="s">
        <v>101</v>
      </c>
      <c r="AW96" s="16"/>
      <c r="AX96" s="16"/>
      <c r="AY96" s="16"/>
      <c r="AZ96" s="16" t="str">
        <f t="shared" si="14"/>
        <v>Missing</v>
      </c>
      <c r="BA96" s="4" t="str">
        <f t="shared" ca="1" si="15"/>
        <v>Missing</v>
      </c>
      <c r="BB96" s="4" t="str">
        <f t="shared" si="16"/>
        <v>Missing</v>
      </c>
      <c r="BC96" s="4" t="str">
        <f t="shared" si="17"/>
        <v>OK</v>
      </c>
      <c r="BD96" s="4" t="str">
        <f t="shared" si="18"/>
        <v>Clear</v>
      </c>
      <c r="BE96" s="4" t="str">
        <f t="shared" ca="1" si="19"/>
        <v/>
      </c>
      <c r="BF96" s="4" t="str">
        <f t="shared" ca="1" si="20"/>
        <v/>
      </c>
    </row>
    <row r="97" spans="1:58" x14ac:dyDescent="0.2">
      <c r="A97" s="4" t="s">
        <v>72</v>
      </c>
      <c r="B97" s="4">
        <v>17</v>
      </c>
      <c r="C97" s="4" t="s">
        <v>63</v>
      </c>
      <c r="D97" s="4">
        <v>2619</v>
      </c>
      <c r="E97" s="4" t="s">
        <v>73</v>
      </c>
      <c r="F97" s="4" t="s">
        <v>74</v>
      </c>
      <c r="G97" s="4" t="s">
        <v>540</v>
      </c>
      <c r="H97" s="15" t="s">
        <v>44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 t="s">
        <v>187</v>
      </c>
      <c r="W97" s="16"/>
      <c r="X97" s="16"/>
      <c r="Y97" s="16"/>
      <c r="Z97" s="16" t="s">
        <v>101</v>
      </c>
      <c r="AA97" s="16" t="s">
        <v>101</v>
      </c>
      <c r="AB97" s="16"/>
      <c r="AC97" s="16"/>
      <c r="AD97" s="16"/>
      <c r="AE97" s="16"/>
      <c r="AF97" s="16" t="s">
        <v>101</v>
      </c>
      <c r="AG97" s="16" t="s">
        <v>101</v>
      </c>
      <c r="AH97" s="16" t="s">
        <v>101</v>
      </c>
      <c r="AI97" s="16" t="s">
        <v>101</v>
      </c>
      <c r="AJ97" s="16" t="s">
        <v>101</v>
      </c>
      <c r="AK97" s="16" t="s">
        <v>101</v>
      </c>
      <c r="AL97" s="16" t="s">
        <v>101</v>
      </c>
      <c r="AM97" s="16" t="s">
        <v>101</v>
      </c>
      <c r="AN97" s="16"/>
      <c r="AO97" s="16" t="s">
        <v>188</v>
      </c>
      <c r="AP97" s="16" t="s">
        <v>101</v>
      </c>
      <c r="AQ97" s="16"/>
      <c r="AR97" s="16"/>
      <c r="AS97" s="16"/>
      <c r="AT97" s="16" t="s">
        <v>101</v>
      </c>
      <c r="AU97" s="16"/>
      <c r="AV97" s="16" t="s">
        <v>101</v>
      </c>
      <c r="AW97" s="16"/>
      <c r="AX97" s="16"/>
      <c r="AY97" s="16"/>
      <c r="AZ97" s="16" t="str">
        <f t="shared" si="14"/>
        <v>Missing</v>
      </c>
      <c r="BA97" s="4" t="str">
        <f t="shared" ca="1" si="15"/>
        <v>Missing</v>
      </c>
      <c r="BB97" s="4" t="str">
        <f t="shared" si="16"/>
        <v>Missing</v>
      </c>
      <c r="BC97" s="4" t="str">
        <f t="shared" si="17"/>
        <v>OK</v>
      </c>
      <c r="BD97" s="4" t="str">
        <f t="shared" si="18"/>
        <v>Clear</v>
      </c>
      <c r="BE97" s="4" t="str">
        <f t="shared" ca="1" si="19"/>
        <v/>
      </c>
      <c r="BF97" s="4" t="str">
        <f t="shared" ca="1" si="20"/>
        <v/>
      </c>
    </row>
    <row r="98" spans="1:58" x14ac:dyDescent="0.2">
      <c r="A98" s="4" t="s">
        <v>75</v>
      </c>
      <c r="B98" s="4">
        <v>17</v>
      </c>
      <c r="C98" s="4" t="s">
        <v>63</v>
      </c>
      <c r="D98" s="4">
        <v>2621</v>
      </c>
      <c r="E98" s="4" t="s">
        <v>76</v>
      </c>
      <c r="F98" s="4" t="s">
        <v>77</v>
      </c>
      <c r="G98" s="4" t="s">
        <v>541</v>
      </c>
      <c r="H98" s="15" t="s">
        <v>44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 t="s">
        <v>187</v>
      </c>
      <c r="W98" s="16"/>
      <c r="X98" s="16"/>
      <c r="Y98" s="16"/>
      <c r="Z98" s="16" t="s">
        <v>101</v>
      </c>
      <c r="AA98" s="16" t="s">
        <v>101</v>
      </c>
      <c r="AB98" s="16"/>
      <c r="AC98" s="16"/>
      <c r="AD98" s="16"/>
      <c r="AE98" s="16"/>
      <c r="AF98" s="16" t="s">
        <v>101</v>
      </c>
      <c r="AG98" s="16" t="s">
        <v>101</v>
      </c>
      <c r="AH98" s="16" t="s">
        <v>101</v>
      </c>
      <c r="AI98" s="16" t="s">
        <v>101</v>
      </c>
      <c r="AJ98" s="16" t="s">
        <v>101</v>
      </c>
      <c r="AK98" s="16" t="s">
        <v>101</v>
      </c>
      <c r="AL98" s="16" t="s">
        <v>101</v>
      </c>
      <c r="AM98" s="16" t="s">
        <v>101</v>
      </c>
      <c r="AN98" s="16"/>
      <c r="AO98" s="16" t="s">
        <v>188</v>
      </c>
      <c r="AP98" s="16" t="s">
        <v>101</v>
      </c>
      <c r="AQ98" s="16"/>
      <c r="AR98" s="16"/>
      <c r="AS98" s="16"/>
      <c r="AT98" s="16" t="s">
        <v>101</v>
      </c>
      <c r="AU98" s="16"/>
      <c r="AV98" s="16" t="s">
        <v>101</v>
      </c>
      <c r="AW98" s="16"/>
      <c r="AX98" s="16"/>
      <c r="AY98" s="16"/>
      <c r="AZ98" s="16" t="str">
        <f t="shared" ref="AZ98:AZ129" si="21">IF(AND(I98&lt;&gt;"",P98&lt;&gt;"",R98&lt;&gt;""),"Complete",IF(COUNTA(I98:R98)=0,"Missing","Partial"))</f>
        <v>Missing</v>
      </c>
      <c r="BA98" s="4" t="str">
        <f t="shared" ref="BA98:BA129" ca="1" si="22">IF(OR(Z98&lt;&gt;"Yes",AA98&lt;&gt;"Yes",AE98=""),"Missing",IF(AE98&lt;TODAY(),"Expired",IF(AE98&lt;=TODAY()+30,"Renewal &lt;30d",IF(AND(AF98="Yes",AG98="Yes",AJ98="Yes"),"Verified","Review"))))</f>
        <v>Missing</v>
      </c>
      <c r="BB98" s="4" t="str">
        <f t="shared" ref="BB98:BB129" si="23">IF(AND(AJ98="Yes",AK98="Yes",AL98="Yes",OR(V98&lt;&gt;"Tenant",AM98="Yes")),"Complete",IF(COUNTIF(AJ98:AM98,"Yes")=0,"Missing","Partial"))</f>
        <v>Missing</v>
      </c>
      <c r="BC98" s="4" t="str">
        <f t="shared" ref="BC98:BC129" si="24">IF(AP98="Yes","Active Issue",IF(AN98="Replacement Risk","Replacement Risk",IF(AN98="Repair Needed","Repair Needed",IF(AN98="Monitor","Monitor","OK"))))</f>
        <v>OK</v>
      </c>
      <c r="BD98" s="4" t="str">
        <f t="shared" ref="BD98:BD129" si="25">IF(AT98="Yes","Open Case",IF(AV98="Yes","Board Review","Clear"))</f>
        <v>Clear</v>
      </c>
      <c r="BE98" s="4" t="str">
        <f t="shared" ref="BE98:BE129" ca="1" si="26">IF(OR(BB98="Missing",BB98="Expired",BD98="Active Issue",BD98="Replacement Risk",BE98="Open Case",BC98="Missing"),"Immediate Action",IF(OR(BB98="Renewal &lt;30d",BB98="Review",BC98="Partial",BD98="Monitor",BE98="Board Review",BA98="Partial"),"Follow Up","Complete"))</f>
        <v/>
      </c>
      <c r="BF98" s="4" t="str">
        <f t="shared" ref="BF98:BF129" ca="1" si="27">(BA98&lt;&gt;"Complete")*1+(OR(BB98="Missing",BB98="Expired"))*3+(BB98="Renewal &lt;30d")*2+(BC98&lt;&gt;"Complete")*2+(OR(BD98="Active Issue",BD98="Replacement Risk"))*3+(BE98&lt;&gt;"Clear")*2+(H98="Review")*1</f>
        <v/>
      </c>
    </row>
    <row r="99" spans="1:58" x14ac:dyDescent="0.2">
      <c r="A99" s="4" t="s">
        <v>78</v>
      </c>
      <c r="B99" s="4">
        <v>17</v>
      </c>
      <c r="C99" s="4" t="s">
        <v>63</v>
      </c>
      <c r="D99" s="4">
        <v>2623</v>
      </c>
      <c r="E99" s="4" t="s">
        <v>79</v>
      </c>
      <c r="F99" s="4" t="s">
        <v>80</v>
      </c>
      <c r="G99" s="4" t="s">
        <v>542</v>
      </c>
      <c r="H99" s="15" t="s">
        <v>44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 t="s">
        <v>187</v>
      </c>
      <c r="W99" s="16"/>
      <c r="X99" s="16"/>
      <c r="Y99" s="16"/>
      <c r="Z99" s="16" t="s">
        <v>101</v>
      </c>
      <c r="AA99" s="16" t="s">
        <v>101</v>
      </c>
      <c r="AB99" s="16"/>
      <c r="AC99" s="16"/>
      <c r="AD99" s="16"/>
      <c r="AE99" s="16"/>
      <c r="AF99" s="16" t="s">
        <v>101</v>
      </c>
      <c r="AG99" s="16" t="s">
        <v>101</v>
      </c>
      <c r="AH99" s="16" t="s">
        <v>101</v>
      </c>
      <c r="AI99" s="16" t="s">
        <v>101</v>
      </c>
      <c r="AJ99" s="16" t="s">
        <v>101</v>
      </c>
      <c r="AK99" s="16" t="s">
        <v>101</v>
      </c>
      <c r="AL99" s="16" t="s">
        <v>101</v>
      </c>
      <c r="AM99" s="16" t="s">
        <v>101</v>
      </c>
      <c r="AN99" s="16"/>
      <c r="AO99" s="16" t="s">
        <v>188</v>
      </c>
      <c r="AP99" s="16" t="s">
        <v>101</v>
      </c>
      <c r="AQ99" s="16"/>
      <c r="AR99" s="16"/>
      <c r="AS99" s="16"/>
      <c r="AT99" s="16" t="s">
        <v>101</v>
      </c>
      <c r="AU99" s="16"/>
      <c r="AV99" s="16" t="s">
        <v>101</v>
      </c>
      <c r="AW99" s="16"/>
      <c r="AX99" s="16"/>
      <c r="AY99" s="16"/>
      <c r="AZ99" s="16" t="str">
        <f t="shared" si="21"/>
        <v>Missing</v>
      </c>
      <c r="BA99" s="4" t="str">
        <f t="shared" ca="1" si="22"/>
        <v>Missing</v>
      </c>
      <c r="BB99" s="4" t="str">
        <f t="shared" si="23"/>
        <v>Missing</v>
      </c>
      <c r="BC99" s="4" t="str">
        <f t="shared" si="24"/>
        <v>OK</v>
      </c>
      <c r="BD99" s="4" t="str">
        <f t="shared" si="25"/>
        <v>Clear</v>
      </c>
      <c r="BE99" s="4" t="str">
        <f t="shared" ca="1" si="26"/>
        <v/>
      </c>
      <c r="BF99" s="4" t="str">
        <f t="shared" ca="1" si="27"/>
        <v/>
      </c>
    </row>
    <row r="100" spans="1:58" x14ac:dyDescent="0.2">
      <c r="A100" s="3" t="s">
        <v>543</v>
      </c>
      <c r="B100" s="3">
        <v>18</v>
      </c>
      <c r="C100" s="3" t="s">
        <v>544</v>
      </c>
      <c r="D100" s="3">
        <v>2803</v>
      </c>
      <c r="E100" s="3" t="s">
        <v>545</v>
      </c>
      <c r="F100" s="3" t="s">
        <v>546</v>
      </c>
      <c r="G100" s="3" t="s">
        <v>547</v>
      </c>
      <c r="H100" s="4" t="s">
        <v>186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 t="s">
        <v>187</v>
      </c>
      <c r="W100" s="5"/>
      <c r="X100" s="5"/>
      <c r="Y100" s="5"/>
      <c r="Z100" s="5" t="s">
        <v>101</v>
      </c>
      <c r="AA100" s="5" t="s">
        <v>101</v>
      </c>
      <c r="AB100" s="5"/>
      <c r="AC100" s="5"/>
      <c r="AD100" s="5"/>
      <c r="AE100" s="5"/>
      <c r="AF100" s="5" t="s">
        <v>101</v>
      </c>
      <c r="AG100" s="5" t="s">
        <v>101</v>
      </c>
      <c r="AH100" s="5" t="s">
        <v>101</v>
      </c>
      <c r="AI100" s="5" t="s">
        <v>101</v>
      </c>
      <c r="AJ100" s="5" t="s">
        <v>101</v>
      </c>
      <c r="AK100" s="5" t="s">
        <v>101</v>
      </c>
      <c r="AL100" s="5" t="s">
        <v>101</v>
      </c>
      <c r="AM100" s="5" t="s">
        <v>101</v>
      </c>
      <c r="AN100" s="5"/>
      <c r="AO100" s="5" t="s">
        <v>188</v>
      </c>
      <c r="AP100" s="5" t="s">
        <v>101</v>
      </c>
      <c r="AQ100" s="5"/>
      <c r="AR100" s="5"/>
      <c r="AS100" s="5"/>
      <c r="AT100" s="5" t="s">
        <v>101</v>
      </c>
      <c r="AU100" s="5"/>
      <c r="AV100" s="5" t="s">
        <v>101</v>
      </c>
      <c r="AW100" s="5"/>
      <c r="AX100" s="5"/>
      <c r="AY100" s="5"/>
      <c r="AZ100" s="6" t="str">
        <f t="shared" si="21"/>
        <v>Missing</v>
      </c>
      <c r="BA100" s="7" t="str">
        <f t="shared" ca="1" si="22"/>
        <v>Missing</v>
      </c>
      <c r="BB100" s="7" t="str">
        <f t="shared" si="23"/>
        <v>Missing</v>
      </c>
      <c r="BC100" s="7" t="str">
        <f t="shared" si="24"/>
        <v>OK</v>
      </c>
      <c r="BD100" s="7" t="str">
        <f t="shared" si="25"/>
        <v>Clear</v>
      </c>
      <c r="BE100" s="7" t="str">
        <f t="shared" ca="1" si="26"/>
        <v/>
      </c>
      <c r="BF100" s="7" t="str">
        <f t="shared" ca="1" si="27"/>
        <v/>
      </c>
    </row>
    <row r="101" spans="1:58" x14ac:dyDescent="0.2">
      <c r="A101" s="3" t="s">
        <v>548</v>
      </c>
      <c r="B101" s="3">
        <v>18</v>
      </c>
      <c r="C101" s="3" t="s">
        <v>544</v>
      </c>
      <c r="D101" s="3">
        <v>2805</v>
      </c>
      <c r="E101" s="3" t="s">
        <v>549</v>
      </c>
      <c r="F101" s="3" t="s">
        <v>550</v>
      </c>
      <c r="G101" s="3" t="s">
        <v>551</v>
      </c>
      <c r="H101" s="4" t="s">
        <v>186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 t="s">
        <v>187</v>
      </c>
      <c r="W101" s="5"/>
      <c r="X101" s="5"/>
      <c r="Y101" s="5"/>
      <c r="Z101" s="5" t="s">
        <v>101</v>
      </c>
      <c r="AA101" s="5" t="s">
        <v>101</v>
      </c>
      <c r="AB101" s="5"/>
      <c r="AC101" s="5"/>
      <c r="AD101" s="5"/>
      <c r="AE101" s="5"/>
      <c r="AF101" s="5" t="s">
        <v>101</v>
      </c>
      <c r="AG101" s="5" t="s">
        <v>101</v>
      </c>
      <c r="AH101" s="5" t="s">
        <v>101</v>
      </c>
      <c r="AI101" s="5" t="s">
        <v>101</v>
      </c>
      <c r="AJ101" s="5" t="s">
        <v>101</v>
      </c>
      <c r="AK101" s="5" t="s">
        <v>101</v>
      </c>
      <c r="AL101" s="5" t="s">
        <v>101</v>
      </c>
      <c r="AM101" s="5" t="s">
        <v>101</v>
      </c>
      <c r="AN101" s="5"/>
      <c r="AO101" s="5" t="s">
        <v>188</v>
      </c>
      <c r="AP101" s="5" t="s">
        <v>101</v>
      </c>
      <c r="AQ101" s="5"/>
      <c r="AR101" s="5"/>
      <c r="AS101" s="5"/>
      <c r="AT101" s="5" t="s">
        <v>101</v>
      </c>
      <c r="AU101" s="5"/>
      <c r="AV101" s="5" t="s">
        <v>101</v>
      </c>
      <c r="AW101" s="5"/>
      <c r="AX101" s="5"/>
      <c r="AY101" s="5"/>
      <c r="AZ101" s="6" t="str">
        <f t="shared" si="21"/>
        <v>Missing</v>
      </c>
      <c r="BA101" s="7" t="str">
        <f t="shared" ca="1" si="22"/>
        <v>Missing</v>
      </c>
      <c r="BB101" s="7" t="str">
        <f t="shared" si="23"/>
        <v>Missing</v>
      </c>
      <c r="BC101" s="7" t="str">
        <f t="shared" si="24"/>
        <v>OK</v>
      </c>
      <c r="BD101" s="7" t="str">
        <f t="shared" si="25"/>
        <v>Clear</v>
      </c>
      <c r="BE101" s="7" t="str">
        <f t="shared" ca="1" si="26"/>
        <v/>
      </c>
      <c r="BF101" s="7" t="str">
        <f t="shared" ca="1" si="27"/>
        <v/>
      </c>
    </row>
    <row r="102" spans="1:58" x14ac:dyDescent="0.2">
      <c r="A102" s="3" t="s">
        <v>552</v>
      </c>
      <c r="B102" s="3">
        <v>18</v>
      </c>
      <c r="C102" s="3" t="s">
        <v>544</v>
      </c>
      <c r="D102" s="3">
        <v>2807</v>
      </c>
      <c r="E102" s="3" t="s">
        <v>553</v>
      </c>
      <c r="F102" s="3" t="s">
        <v>554</v>
      </c>
      <c r="G102" s="3" t="s">
        <v>555</v>
      </c>
      <c r="H102" s="4" t="s">
        <v>186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 t="s">
        <v>187</v>
      </c>
      <c r="W102" s="5"/>
      <c r="X102" s="5"/>
      <c r="Y102" s="5"/>
      <c r="Z102" s="5" t="s">
        <v>101</v>
      </c>
      <c r="AA102" s="5" t="s">
        <v>101</v>
      </c>
      <c r="AB102" s="5"/>
      <c r="AC102" s="5"/>
      <c r="AD102" s="5"/>
      <c r="AE102" s="5"/>
      <c r="AF102" s="5" t="s">
        <v>101</v>
      </c>
      <c r="AG102" s="5" t="s">
        <v>101</v>
      </c>
      <c r="AH102" s="5" t="s">
        <v>101</v>
      </c>
      <c r="AI102" s="5" t="s">
        <v>101</v>
      </c>
      <c r="AJ102" s="5" t="s">
        <v>101</v>
      </c>
      <c r="AK102" s="5" t="s">
        <v>101</v>
      </c>
      <c r="AL102" s="5" t="s">
        <v>101</v>
      </c>
      <c r="AM102" s="5" t="s">
        <v>101</v>
      </c>
      <c r="AN102" s="5"/>
      <c r="AO102" s="5" t="s">
        <v>188</v>
      </c>
      <c r="AP102" s="5" t="s">
        <v>101</v>
      </c>
      <c r="AQ102" s="5"/>
      <c r="AR102" s="5"/>
      <c r="AS102" s="5"/>
      <c r="AT102" s="5" t="s">
        <v>101</v>
      </c>
      <c r="AU102" s="5"/>
      <c r="AV102" s="5" t="s">
        <v>101</v>
      </c>
      <c r="AW102" s="5"/>
      <c r="AX102" s="5"/>
      <c r="AY102" s="5"/>
      <c r="AZ102" s="6" t="str">
        <f t="shared" si="21"/>
        <v>Missing</v>
      </c>
      <c r="BA102" s="7" t="str">
        <f t="shared" ca="1" si="22"/>
        <v>Missing</v>
      </c>
      <c r="BB102" s="7" t="str">
        <f t="shared" si="23"/>
        <v>Missing</v>
      </c>
      <c r="BC102" s="7" t="str">
        <f t="shared" si="24"/>
        <v>OK</v>
      </c>
      <c r="BD102" s="7" t="str">
        <f t="shared" si="25"/>
        <v>Clear</v>
      </c>
      <c r="BE102" s="7" t="str">
        <f t="shared" ca="1" si="26"/>
        <v/>
      </c>
      <c r="BF102" s="7" t="str">
        <f t="shared" ca="1" si="27"/>
        <v/>
      </c>
    </row>
    <row r="103" spans="1:58" x14ac:dyDescent="0.2">
      <c r="A103" s="3" t="s">
        <v>556</v>
      </c>
      <c r="B103" s="3">
        <v>18</v>
      </c>
      <c r="C103" s="3" t="s">
        <v>544</v>
      </c>
      <c r="D103" s="3">
        <v>2809</v>
      </c>
      <c r="E103" s="3" t="s">
        <v>557</v>
      </c>
      <c r="F103" s="3" t="s">
        <v>558</v>
      </c>
      <c r="G103" s="3" t="s">
        <v>559</v>
      </c>
      <c r="H103" s="4" t="s">
        <v>186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 t="s">
        <v>187</v>
      </c>
      <c r="W103" s="5"/>
      <c r="X103" s="5"/>
      <c r="Y103" s="5"/>
      <c r="Z103" s="5" t="s">
        <v>101</v>
      </c>
      <c r="AA103" s="5" t="s">
        <v>101</v>
      </c>
      <c r="AB103" s="5"/>
      <c r="AC103" s="5"/>
      <c r="AD103" s="5"/>
      <c r="AE103" s="5"/>
      <c r="AF103" s="5" t="s">
        <v>101</v>
      </c>
      <c r="AG103" s="5" t="s">
        <v>101</v>
      </c>
      <c r="AH103" s="5" t="s">
        <v>101</v>
      </c>
      <c r="AI103" s="5" t="s">
        <v>101</v>
      </c>
      <c r="AJ103" s="5" t="s">
        <v>101</v>
      </c>
      <c r="AK103" s="5" t="s">
        <v>101</v>
      </c>
      <c r="AL103" s="5" t="s">
        <v>101</v>
      </c>
      <c r="AM103" s="5" t="s">
        <v>101</v>
      </c>
      <c r="AN103" s="5"/>
      <c r="AO103" s="5" t="s">
        <v>188</v>
      </c>
      <c r="AP103" s="5" t="s">
        <v>101</v>
      </c>
      <c r="AQ103" s="5"/>
      <c r="AR103" s="5"/>
      <c r="AS103" s="5"/>
      <c r="AT103" s="5" t="s">
        <v>101</v>
      </c>
      <c r="AU103" s="5"/>
      <c r="AV103" s="5" t="s">
        <v>101</v>
      </c>
      <c r="AW103" s="5"/>
      <c r="AX103" s="5"/>
      <c r="AY103" s="5"/>
      <c r="AZ103" s="6" t="str">
        <f t="shared" si="21"/>
        <v>Missing</v>
      </c>
      <c r="BA103" s="7" t="str">
        <f t="shared" ca="1" si="22"/>
        <v>Missing</v>
      </c>
      <c r="BB103" s="7" t="str">
        <f t="shared" si="23"/>
        <v>Missing</v>
      </c>
      <c r="BC103" s="7" t="str">
        <f t="shared" si="24"/>
        <v>OK</v>
      </c>
      <c r="BD103" s="7" t="str">
        <f t="shared" si="25"/>
        <v>Clear</v>
      </c>
      <c r="BE103" s="7" t="str">
        <f t="shared" ca="1" si="26"/>
        <v/>
      </c>
      <c r="BF103" s="7" t="str">
        <f t="shared" ca="1" si="27"/>
        <v/>
      </c>
    </row>
    <row r="104" spans="1:58" x14ac:dyDescent="0.2">
      <c r="A104" s="3" t="s">
        <v>560</v>
      </c>
      <c r="B104" s="3">
        <v>18</v>
      </c>
      <c r="C104" s="3" t="s">
        <v>544</v>
      </c>
      <c r="D104" s="3">
        <v>2811</v>
      </c>
      <c r="E104" s="3" t="s">
        <v>561</v>
      </c>
      <c r="F104" s="3" t="s">
        <v>562</v>
      </c>
      <c r="G104" s="3" t="s">
        <v>563</v>
      </c>
      <c r="H104" s="4" t="s">
        <v>186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 t="s">
        <v>187</v>
      </c>
      <c r="W104" s="5"/>
      <c r="X104" s="5"/>
      <c r="Y104" s="5"/>
      <c r="Z104" s="5" t="s">
        <v>101</v>
      </c>
      <c r="AA104" s="5" t="s">
        <v>101</v>
      </c>
      <c r="AB104" s="5"/>
      <c r="AC104" s="5"/>
      <c r="AD104" s="5"/>
      <c r="AE104" s="5"/>
      <c r="AF104" s="5" t="s">
        <v>101</v>
      </c>
      <c r="AG104" s="5" t="s">
        <v>101</v>
      </c>
      <c r="AH104" s="5" t="s">
        <v>101</v>
      </c>
      <c r="AI104" s="5" t="s">
        <v>101</v>
      </c>
      <c r="AJ104" s="5" t="s">
        <v>101</v>
      </c>
      <c r="AK104" s="5" t="s">
        <v>101</v>
      </c>
      <c r="AL104" s="5" t="s">
        <v>101</v>
      </c>
      <c r="AM104" s="5" t="s">
        <v>101</v>
      </c>
      <c r="AN104" s="5"/>
      <c r="AO104" s="5" t="s">
        <v>188</v>
      </c>
      <c r="AP104" s="5" t="s">
        <v>101</v>
      </c>
      <c r="AQ104" s="5"/>
      <c r="AR104" s="5"/>
      <c r="AS104" s="5"/>
      <c r="AT104" s="5" t="s">
        <v>101</v>
      </c>
      <c r="AU104" s="5"/>
      <c r="AV104" s="5" t="s">
        <v>101</v>
      </c>
      <c r="AW104" s="5"/>
      <c r="AX104" s="5"/>
      <c r="AY104" s="5"/>
      <c r="AZ104" s="6" t="str">
        <f t="shared" si="21"/>
        <v>Missing</v>
      </c>
      <c r="BA104" s="7" t="str">
        <f t="shared" ca="1" si="22"/>
        <v>Missing</v>
      </c>
      <c r="BB104" s="7" t="str">
        <f t="shared" si="23"/>
        <v>Missing</v>
      </c>
      <c r="BC104" s="7" t="str">
        <f t="shared" si="24"/>
        <v>OK</v>
      </c>
      <c r="BD104" s="7" t="str">
        <f t="shared" si="25"/>
        <v>Clear</v>
      </c>
      <c r="BE104" s="7" t="str">
        <f t="shared" ca="1" si="26"/>
        <v/>
      </c>
      <c r="BF104" s="7" t="str">
        <f t="shared" ca="1" si="27"/>
        <v/>
      </c>
    </row>
    <row r="105" spans="1:58" x14ac:dyDescent="0.2">
      <c r="A105" s="3" t="s">
        <v>564</v>
      </c>
      <c r="B105" s="3">
        <v>18</v>
      </c>
      <c r="C105" s="3" t="s">
        <v>544</v>
      </c>
      <c r="D105" s="3">
        <v>2813</v>
      </c>
      <c r="E105" s="3" t="s">
        <v>565</v>
      </c>
      <c r="F105" s="3" t="s">
        <v>566</v>
      </c>
      <c r="G105" s="3" t="s">
        <v>567</v>
      </c>
      <c r="H105" s="4" t="s">
        <v>186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 t="s">
        <v>187</v>
      </c>
      <c r="W105" s="5"/>
      <c r="X105" s="5"/>
      <c r="Y105" s="5"/>
      <c r="Z105" s="5" t="s">
        <v>101</v>
      </c>
      <c r="AA105" s="5" t="s">
        <v>101</v>
      </c>
      <c r="AB105" s="5"/>
      <c r="AC105" s="5"/>
      <c r="AD105" s="5"/>
      <c r="AE105" s="5"/>
      <c r="AF105" s="5" t="s">
        <v>101</v>
      </c>
      <c r="AG105" s="5" t="s">
        <v>101</v>
      </c>
      <c r="AH105" s="5" t="s">
        <v>101</v>
      </c>
      <c r="AI105" s="5" t="s">
        <v>101</v>
      </c>
      <c r="AJ105" s="5" t="s">
        <v>101</v>
      </c>
      <c r="AK105" s="5" t="s">
        <v>101</v>
      </c>
      <c r="AL105" s="5" t="s">
        <v>101</v>
      </c>
      <c r="AM105" s="5" t="s">
        <v>101</v>
      </c>
      <c r="AN105" s="5"/>
      <c r="AO105" s="5" t="s">
        <v>188</v>
      </c>
      <c r="AP105" s="5" t="s">
        <v>101</v>
      </c>
      <c r="AQ105" s="5"/>
      <c r="AR105" s="5"/>
      <c r="AS105" s="5"/>
      <c r="AT105" s="5" t="s">
        <v>101</v>
      </c>
      <c r="AU105" s="5"/>
      <c r="AV105" s="5" t="s">
        <v>101</v>
      </c>
      <c r="AW105" s="5"/>
      <c r="AX105" s="5"/>
      <c r="AY105" s="5"/>
      <c r="AZ105" s="6" t="str">
        <f t="shared" si="21"/>
        <v>Missing</v>
      </c>
      <c r="BA105" s="7" t="str">
        <f t="shared" ca="1" si="22"/>
        <v>Missing</v>
      </c>
      <c r="BB105" s="7" t="str">
        <f t="shared" si="23"/>
        <v>Missing</v>
      </c>
      <c r="BC105" s="7" t="str">
        <f t="shared" si="24"/>
        <v>OK</v>
      </c>
      <c r="BD105" s="7" t="str">
        <f t="shared" si="25"/>
        <v>Clear</v>
      </c>
      <c r="BE105" s="7" t="str">
        <f t="shared" ca="1" si="26"/>
        <v/>
      </c>
      <c r="BF105" s="7" t="str">
        <f t="shared" ca="1" si="27"/>
        <v/>
      </c>
    </row>
    <row r="106" spans="1:58" x14ac:dyDescent="0.2">
      <c r="A106" s="3" t="s">
        <v>568</v>
      </c>
      <c r="B106" s="3">
        <v>19</v>
      </c>
      <c r="C106" s="3" t="s">
        <v>544</v>
      </c>
      <c r="D106" s="3">
        <v>2817</v>
      </c>
      <c r="E106" s="3" t="s">
        <v>569</v>
      </c>
      <c r="F106" s="3" t="s">
        <v>570</v>
      </c>
      <c r="G106" s="3" t="s">
        <v>571</v>
      </c>
      <c r="H106" s="4" t="s">
        <v>186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 t="s">
        <v>187</v>
      </c>
      <c r="W106" s="5"/>
      <c r="X106" s="5"/>
      <c r="Y106" s="5"/>
      <c r="Z106" s="5" t="s">
        <v>101</v>
      </c>
      <c r="AA106" s="5" t="s">
        <v>101</v>
      </c>
      <c r="AB106" s="5"/>
      <c r="AC106" s="5"/>
      <c r="AD106" s="5"/>
      <c r="AE106" s="5"/>
      <c r="AF106" s="5" t="s">
        <v>101</v>
      </c>
      <c r="AG106" s="5" t="s">
        <v>101</v>
      </c>
      <c r="AH106" s="5" t="s">
        <v>101</v>
      </c>
      <c r="AI106" s="5" t="s">
        <v>101</v>
      </c>
      <c r="AJ106" s="5" t="s">
        <v>101</v>
      </c>
      <c r="AK106" s="5" t="s">
        <v>101</v>
      </c>
      <c r="AL106" s="5" t="s">
        <v>101</v>
      </c>
      <c r="AM106" s="5" t="s">
        <v>101</v>
      </c>
      <c r="AN106" s="5"/>
      <c r="AO106" s="5" t="s">
        <v>188</v>
      </c>
      <c r="AP106" s="5" t="s">
        <v>101</v>
      </c>
      <c r="AQ106" s="5"/>
      <c r="AR106" s="5"/>
      <c r="AS106" s="5"/>
      <c r="AT106" s="5" t="s">
        <v>101</v>
      </c>
      <c r="AU106" s="5"/>
      <c r="AV106" s="5" t="s">
        <v>101</v>
      </c>
      <c r="AW106" s="5"/>
      <c r="AX106" s="5"/>
      <c r="AY106" s="5"/>
      <c r="AZ106" s="6" t="str">
        <f t="shared" si="21"/>
        <v>Missing</v>
      </c>
      <c r="BA106" s="7" t="str">
        <f t="shared" ca="1" si="22"/>
        <v>Missing</v>
      </c>
      <c r="BB106" s="7" t="str">
        <f t="shared" si="23"/>
        <v>Missing</v>
      </c>
      <c r="BC106" s="7" t="str">
        <f t="shared" si="24"/>
        <v>OK</v>
      </c>
      <c r="BD106" s="7" t="str">
        <f t="shared" si="25"/>
        <v>Clear</v>
      </c>
      <c r="BE106" s="7" t="str">
        <f t="shared" ca="1" si="26"/>
        <v/>
      </c>
      <c r="BF106" s="7" t="str">
        <f t="shared" ca="1" si="27"/>
        <v/>
      </c>
    </row>
    <row r="107" spans="1:58" x14ac:dyDescent="0.2">
      <c r="A107" s="3" t="s">
        <v>572</v>
      </c>
      <c r="B107" s="3">
        <v>19</v>
      </c>
      <c r="C107" s="3" t="s">
        <v>544</v>
      </c>
      <c r="D107" s="3">
        <v>2819</v>
      </c>
      <c r="E107" s="3" t="s">
        <v>573</v>
      </c>
      <c r="F107" s="3" t="s">
        <v>574</v>
      </c>
      <c r="G107" s="3" t="s">
        <v>575</v>
      </c>
      <c r="H107" s="4" t="s">
        <v>186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 t="s">
        <v>187</v>
      </c>
      <c r="W107" s="5"/>
      <c r="X107" s="5"/>
      <c r="Y107" s="5"/>
      <c r="Z107" s="5" t="s">
        <v>101</v>
      </c>
      <c r="AA107" s="5" t="s">
        <v>101</v>
      </c>
      <c r="AB107" s="5"/>
      <c r="AC107" s="5"/>
      <c r="AD107" s="5"/>
      <c r="AE107" s="5"/>
      <c r="AF107" s="5" t="s">
        <v>101</v>
      </c>
      <c r="AG107" s="5" t="s">
        <v>101</v>
      </c>
      <c r="AH107" s="5" t="s">
        <v>101</v>
      </c>
      <c r="AI107" s="5" t="s">
        <v>101</v>
      </c>
      <c r="AJ107" s="5" t="s">
        <v>101</v>
      </c>
      <c r="AK107" s="5" t="s">
        <v>101</v>
      </c>
      <c r="AL107" s="5" t="s">
        <v>101</v>
      </c>
      <c r="AM107" s="5" t="s">
        <v>101</v>
      </c>
      <c r="AN107" s="5"/>
      <c r="AO107" s="5" t="s">
        <v>188</v>
      </c>
      <c r="AP107" s="5" t="s">
        <v>101</v>
      </c>
      <c r="AQ107" s="5"/>
      <c r="AR107" s="5"/>
      <c r="AS107" s="5"/>
      <c r="AT107" s="5" t="s">
        <v>101</v>
      </c>
      <c r="AU107" s="5"/>
      <c r="AV107" s="5" t="s">
        <v>101</v>
      </c>
      <c r="AW107" s="5"/>
      <c r="AX107" s="5"/>
      <c r="AY107" s="5"/>
      <c r="AZ107" s="6" t="str">
        <f t="shared" si="21"/>
        <v>Missing</v>
      </c>
      <c r="BA107" s="7" t="str">
        <f t="shared" ca="1" si="22"/>
        <v>Missing</v>
      </c>
      <c r="BB107" s="7" t="str">
        <f t="shared" si="23"/>
        <v>Missing</v>
      </c>
      <c r="BC107" s="7" t="str">
        <f t="shared" si="24"/>
        <v>OK</v>
      </c>
      <c r="BD107" s="7" t="str">
        <f t="shared" si="25"/>
        <v>Clear</v>
      </c>
      <c r="BE107" s="7" t="str">
        <f t="shared" ca="1" si="26"/>
        <v/>
      </c>
      <c r="BF107" s="7" t="str">
        <f t="shared" ca="1" si="27"/>
        <v/>
      </c>
    </row>
    <row r="108" spans="1:58" x14ac:dyDescent="0.2">
      <c r="A108" s="3" t="s">
        <v>576</v>
      </c>
      <c r="B108" s="3">
        <v>19</v>
      </c>
      <c r="C108" s="3" t="s">
        <v>544</v>
      </c>
      <c r="D108" s="3">
        <v>2821</v>
      </c>
      <c r="E108" s="3" t="s">
        <v>577</v>
      </c>
      <c r="F108" s="3" t="s">
        <v>578</v>
      </c>
      <c r="G108" s="3" t="s">
        <v>579</v>
      </c>
      <c r="H108" s="4" t="s">
        <v>186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 t="s">
        <v>187</v>
      </c>
      <c r="W108" s="5"/>
      <c r="X108" s="5"/>
      <c r="Y108" s="5"/>
      <c r="Z108" s="5" t="s">
        <v>101</v>
      </c>
      <c r="AA108" s="5" t="s">
        <v>101</v>
      </c>
      <c r="AB108" s="5"/>
      <c r="AC108" s="5"/>
      <c r="AD108" s="5"/>
      <c r="AE108" s="5"/>
      <c r="AF108" s="5" t="s">
        <v>101</v>
      </c>
      <c r="AG108" s="5" t="s">
        <v>101</v>
      </c>
      <c r="AH108" s="5" t="s">
        <v>101</v>
      </c>
      <c r="AI108" s="5" t="s">
        <v>101</v>
      </c>
      <c r="AJ108" s="5" t="s">
        <v>101</v>
      </c>
      <c r="AK108" s="5" t="s">
        <v>101</v>
      </c>
      <c r="AL108" s="5" t="s">
        <v>101</v>
      </c>
      <c r="AM108" s="5" t="s">
        <v>101</v>
      </c>
      <c r="AN108" s="5"/>
      <c r="AO108" s="5" t="s">
        <v>188</v>
      </c>
      <c r="AP108" s="5" t="s">
        <v>101</v>
      </c>
      <c r="AQ108" s="5"/>
      <c r="AR108" s="5"/>
      <c r="AS108" s="5"/>
      <c r="AT108" s="5" t="s">
        <v>101</v>
      </c>
      <c r="AU108" s="5"/>
      <c r="AV108" s="5" t="s">
        <v>101</v>
      </c>
      <c r="AW108" s="5"/>
      <c r="AX108" s="5"/>
      <c r="AY108" s="5"/>
      <c r="AZ108" s="6" t="str">
        <f t="shared" si="21"/>
        <v>Missing</v>
      </c>
      <c r="BA108" s="7" t="str">
        <f t="shared" ca="1" si="22"/>
        <v>Missing</v>
      </c>
      <c r="BB108" s="7" t="str">
        <f t="shared" si="23"/>
        <v>Missing</v>
      </c>
      <c r="BC108" s="7" t="str">
        <f t="shared" si="24"/>
        <v>OK</v>
      </c>
      <c r="BD108" s="7" t="str">
        <f t="shared" si="25"/>
        <v>Clear</v>
      </c>
      <c r="BE108" s="7" t="str">
        <f t="shared" ca="1" si="26"/>
        <v/>
      </c>
      <c r="BF108" s="7" t="str">
        <f t="shared" ca="1" si="27"/>
        <v/>
      </c>
    </row>
    <row r="109" spans="1:58" x14ac:dyDescent="0.2">
      <c r="A109" s="3" t="s">
        <v>580</v>
      </c>
      <c r="B109" s="3">
        <v>19</v>
      </c>
      <c r="C109" s="3" t="s">
        <v>544</v>
      </c>
      <c r="D109" s="3">
        <v>2823</v>
      </c>
      <c r="E109" s="3" t="s">
        <v>581</v>
      </c>
      <c r="F109" s="3" t="s">
        <v>582</v>
      </c>
      <c r="G109" s="3" t="s">
        <v>583</v>
      </c>
      <c r="H109" s="4" t="s">
        <v>186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 t="s">
        <v>187</v>
      </c>
      <c r="W109" s="5"/>
      <c r="X109" s="5"/>
      <c r="Y109" s="5"/>
      <c r="Z109" s="5" t="s">
        <v>101</v>
      </c>
      <c r="AA109" s="5" t="s">
        <v>101</v>
      </c>
      <c r="AB109" s="5"/>
      <c r="AC109" s="5"/>
      <c r="AD109" s="5"/>
      <c r="AE109" s="5"/>
      <c r="AF109" s="5" t="s">
        <v>101</v>
      </c>
      <c r="AG109" s="5" t="s">
        <v>101</v>
      </c>
      <c r="AH109" s="5" t="s">
        <v>101</v>
      </c>
      <c r="AI109" s="5" t="s">
        <v>101</v>
      </c>
      <c r="AJ109" s="5" t="s">
        <v>101</v>
      </c>
      <c r="AK109" s="5" t="s">
        <v>101</v>
      </c>
      <c r="AL109" s="5" t="s">
        <v>101</v>
      </c>
      <c r="AM109" s="5" t="s">
        <v>101</v>
      </c>
      <c r="AN109" s="5"/>
      <c r="AO109" s="5" t="s">
        <v>188</v>
      </c>
      <c r="AP109" s="5" t="s">
        <v>101</v>
      </c>
      <c r="AQ109" s="5"/>
      <c r="AR109" s="5"/>
      <c r="AS109" s="5"/>
      <c r="AT109" s="5" t="s">
        <v>101</v>
      </c>
      <c r="AU109" s="5"/>
      <c r="AV109" s="5" t="s">
        <v>101</v>
      </c>
      <c r="AW109" s="5"/>
      <c r="AX109" s="5"/>
      <c r="AY109" s="5"/>
      <c r="AZ109" s="6" t="str">
        <f t="shared" si="21"/>
        <v>Missing</v>
      </c>
      <c r="BA109" s="7" t="str">
        <f t="shared" ca="1" si="22"/>
        <v>Missing</v>
      </c>
      <c r="BB109" s="7" t="str">
        <f t="shared" si="23"/>
        <v>Missing</v>
      </c>
      <c r="BC109" s="7" t="str">
        <f t="shared" si="24"/>
        <v>OK</v>
      </c>
      <c r="BD109" s="7" t="str">
        <f t="shared" si="25"/>
        <v>Clear</v>
      </c>
      <c r="BE109" s="7" t="str">
        <f t="shared" ca="1" si="26"/>
        <v/>
      </c>
      <c r="BF109" s="7" t="str">
        <f t="shared" ca="1" si="27"/>
        <v/>
      </c>
    </row>
    <row r="110" spans="1:58" x14ac:dyDescent="0.2">
      <c r="A110" s="3" t="s">
        <v>584</v>
      </c>
      <c r="B110" s="3">
        <v>19</v>
      </c>
      <c r="C110" s="3" t="s">
        <v>544</v>
      </c>
      <c r="D110" s="3">
        <v>2825</v>
      </c>
      <c r="E110" s="3" t="s">
        <v>585</v>
      </c>
      <c r="F110" s="3" t="s">
        <v>586</v>
      </c>
      <c r="G110" s="3" t="s">
        <v>587</v>
      </c>
      <c r="H110" s="4" t="s">
        <v>186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 t="s">
        <v>187</v>
      </c>
      <c r="W110" s="5"/>
      <c r="X110" s="5"/>
      <c r="Y110" s="5"/>
      <c r="Z110" s="5" t="s">
        <v>101</v>
      </c>
      <c r="AA110" s="5" t="s">
        <v>101</v>
      </c>
      <c r="AB110" s="5"/>
      <c r="AC110" s="5"/>
      <c r="AD110" s="5"/>
      <c r="AE110" s="5"/>
      <c r="AF110" s="5" t="s">
        <v>101</v>
      </c>
      <c r="AG110" s="5" t="s">
        <v>101</v>
      </c>
      <c r="AH110" s="5" t="s">
        <v>101</v>
      </c>
      <c r="AI110" s="5" t="s">
        <v>101</v>
      </c>
      <c r="AJ110" s="5" t="s">
        <v>101</v>
      </c>
      <c r="AK110" s="5" t="s">
        <v>101</v>
      </c>
      <c r="AL110" s="5" t="s">
        <v>101</v>
      </c>
      <c r="AM110" s="5" t="s">
        <v>101</v>
      </c>
      <c r="AN110" s="5"/>
      <c r="AO110" s="5" t="s">
        <v>188</v>
      </c>
      <c r="AP110" s="5" t="s">
        <v>101</v>
      </c>
      <c r="AQ110" s="5"/>
      <c r="AR110" s="5"/>
      <c r="AS110" s="5"/>
      <c r="AT110" s="5" t="s">
        <v>101</v>
      </c>
      <c r="AU110" s="5"/>
      <c r="AV110" s="5" t="s">
        <v>101</v>
      </c>
      <c r="AW110" s="5"/>
      <c r="AX110" s="5"/>
      <c r="AY110" s="5"/>
      <c r="AZ110" s="6" t="str">
        <f t="shared" si="21"/>
        <v>Missing</v>
      </c>
      <c r="BA110" s="7" t="str">
        <f t="shared" ca="1" si="22"/>
        <v>Missing</v>
      </c>
      <c r="BB110" s="7" t="str">
        <f t="shared" si="23"/>
        <v>Missing</v>
      </c>
      <c r="BC110" s="7" t="str">
        <f t="shared" si="24"/>
        <v>OK</v>
      </c>
      <c r="BD110" s="7" t="str">
        <f t="shared" si="25"/>
        <v>Clear</v>
      </c>
      <c r="BE110" s="7" t="str">
        <f t="shared" ca="1" si="26"/>
        <v/>
      </c>
      <c r="BF110" s="7" t="str">
        <f t="shared" ca="1" si="27"/>
        <v/>
      </c>
    </row>
    <row r="111" spans="1:58" x14ac:dyDescent="0.2">
      <c r="A111" s="3" t="s">
        <v>588</v>
      </c>
      <c r="B111" s="3">
        <v>19</v>
      </c>
      <c r="C111" s="3" t="s">
        <v>544</v>
      </c>
      <c r="D111" s="3">
        <v>2827</v>
      </c>
      <c r="E111" s="3" t="s">
        <v>589</v>
      </c>
      <c r="F111" s="3" t="s">
        <v>590</v>
      </c>
      <c r="G111" s="3" t="s">
        <v>591</v>
      </c>
      <c r="H111" s="4" t="s">
        <v>186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 t="s">
        <v>187</v>
      </c>
      <c r="W111" s="5"/>
      <c r="X111" s="5"/>
      <c r="Y111" s="5"/>
      <c r="Z111" s="5" t="s">
        <v>101</v>
      </c>
      <c r="AA111" s="5" t="s">
        <v>101</v>
      </c>
      <c r="AB111" s="5"/>
      <c r="AC111" s="5"/>
      <c r="AD111" s="5"/>
      <c r="AE111" s="5"/>
      <c r="AF111" s="5" t="s">
        <v>101</v>
      </c>
      <c r="AG111" s="5" t="s">
        <v>101</v>
      </c>
      <c r="AH111" s="5" t="s">
        <v>101</v>
      </c>
      <c r="AI111" s="5" t="s">
        <v>101</v>
      </c>
      <c r="AJ111" s="5" t="s">
        <v>101</v>
      </c>
      <c r="AK111" s="5" t="s">
        <v>101</v>
      </c>
      <c r="AL111" s="5" t="s">
        <v>101</v>
      </c>
      <c r="AM111" s="5" t="s">
        <v>101</v>
      </c>
      <c r="AN111" s="5"/>
      <c r="AO111" s="5" t="s">
        <v>188</v>
      </c>
      <c r="AP111" s="5" t="s">
        <v>101</v>
      </c>
      <c r="AQ111" s="5"/>
      <c r="AR111" s="5"/>
      <c r="AS111" s="5"/>
      <c r="AT111" s="5" t="s">
        <v>101</v>
      </c>
      <c r="AU111" s="5"/>
      <c r="AV111" s="5" t="s">
        <v>101</v>
      </c>
      <c r="AW111" s="5"/>
      <c r="AX111" s="5"/>
      <c r="AY111" s="5"/>
      <c r="AZ111" s="6" t="str">
        <f t="shared" si="21"/>
        <v>Missing</v>
      </c>
      <c r="BA111" s="7" t="str">
        <f t="shared" ca="1" si="22"/>
        <v>Missing</v>
      </c>
      <c r="BB111" s="7" t="str">
        <f t="shared" si="23"/>
        <v>Missing</v>
      </c>
      <c r="BC111" s="7" t="str">
        <f t="shared" si="24"/>
        <v>OK</v>
      </c>
      <c r="BD111" s="7" t="str">
        <f t="shared" si="25"/>
        <v>Clear</v>
      </c>
      <c r="BE111" s="7" t="str">
        <f t="shared" ca="1" si="26"/>
        <v/>
      </c>
      <c r="BF111" s="7" t="str">
        <f t="shared" ca="1" si="27"/>
        <v/>
      </c>
    </row>
    <row r="112" spans="1:58" x14ac:dyDescent="0.2">
      <c r="A112" s="3" t="s">
        <v>592</v>
      </c>
      <c r="B112" s="3">
        <v>20</v>
      </c>
      <c r="C112" s="3" t="s">
        <v>544</v>
      </c>
      <c r="D112" s="3">
        <v>2806</v>
      </c>
      <c r="E112" s="3" t="s">
        <v>593</v>
      </c>
      <c r="F112" s="3" t="s">
        <v>594</v>
      </c>
      <c r="G112" s="3" t="s">
        <v>595</v>
      </c>
      <c r="H112" s="4" t="s">
        <v>186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 t="s">
        <v>187</v>
      </c>
      <c r="W112" s="5"/>
      <c r="X112" s="5"/>
      <c r="Y112" s="5"/>
      <c r="Z112" s="5" t="s">
        <v>101</v>
      </c>
      <c r="AA112" s="5" t="s">
        <v>101</v>
      </c>
      <c r="AB112" s="5"/>
      <c r="AC112" s="5"/>
      <c r="AD112" s="5"/>
      <c r="AE112" s="5"/>
      <c r="AF112" s="5" t="s">
        <v>101</v>
      </c>
      <c r="AG112" s="5" t="s">
        <v>101</v>
      </c>
      <c r="AH112" s="5" t="s">
        <v>101</v>
      </c>
      <c r="AI112" s="5" t="s">
        <v>101</v>
      </c>
      <c r="AJ112" s="5" t="s">
        <v>101</v>
      </c>
      <c r="AK112" s="5" t="s">
        <v>101</v>
      </c>
      <c r="AL112" s="5" t="s">
        <v>101</v>
      </c>
      <c r="AM112" s="5" t="s">
        <v>101</v>
      </c>
      <c r="AN112" s="5"/>
      <c r="AO112" s="5" t="s">
        <v>188</v>
      </c>
      <c r="AP112" s="5" t="s">
        <v>101</v>
      </c>
      <c r="AQ112" s="5"/>
      <c r="AR112" s="5"/>
      <c r="AS112" s="5"/>
      <c r="AT112" s="5" t="s">
        <v>101</v>
      </c>
      <c r="AU112" s="5"/>
      <c r="AV112" s="5" t="s">
        <v>101</v>
      </c>
      <c r="AW112" s="5"/>
      <c r="AX112" s="5"/>
      <c r="AY112" s="5"/>
      <c r="AZ112" s="6" t="str">
        <f t="shared" si="21"/>
        <v>Missing</v>
      </c>
      <c r="BA112" s="7" t="str">
        <f t="shared" ca="1" si="22"/>
        <v>Missing</v>
      </c>
      <c r="BB112" s="7" t="str">
        <f t="shared" si="23"/>
        <v>Missing</v>
      </c>
      <c r="BC112" s="7" t="str">
        <f t="shared" si="24"/>
        <v>OK</v>
      </c>
      <c r="BD112" s="7" t="str">
        <f t="shared" si="25"/>
        <v>Clear</v>
      </c>
      <c r="BE112" s="7" t="str">
        <f t="shared" ca="1" si="26"/>
        <v/>
      </c>
      <c r="BF112" s="7" t="str">
        <f t="shared" ca="1" si="27"/>
        <v/>
      </c>
    </row>
    <row r="113" spans="1:58" x14ac:dyDescent="0.2">
      <c r="A113" s="3" t="s">
        <v>596</v>
      </c>
      <c r="B113" s="3">
        <v>20</v>
      </c>
      <c r="C113" s="3" t="s">
        <v>544</v>
      </c>
      <c r="D113" s="3">
        <v>2808</v>
      </c>
      <c r="E113" s="3" t="s">
        <v>597</v>
      </c>
      <c r="F113" s="3" t="s">
        <v>598</v>
      </c>
      <c r="G113" s="3" t="s">
        <v>599</v>
      </c>
      <c r="H113" s="4" t="s">
        <v>186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 t="s">
        <v>187</v>
      </c>
      <c r="W113" s="5"/>
      <c r="X113" s="5"/>
      <c r="Y113" s="5"/>
      <c r="Z113" s="5" t="s">
        <v>101</v>
      </c>
      <c r="AA113" s="5" t="s">
        <v>101</v>
      </c>
      <c r="AB113" s="5"/>
      <c r="AC113" s="5"/>
      <c r="AD113" s="5"/>
      <c r="AE113" s="5"/>
      <c r="AF113" s="5" t="s">
        <v>101</v>
      </c>
      <c r="AG113" s="5" t="s">
        <v>101</v>
      </c>
      <c r="AH113" s="5" t="s">
        <v>101</v>
      </c>
      <c r="AI113" s="5" t="s">
        <v>101</v>
      </c>
      <c r="AJ113" s="5" t="s">
        <v>101</v>
      </c>
      <c r="AK113" s="5" t="s">
        <v>101</v>
      </c>
      <c r="AL113" s="5" t="s">
        <v>101</v>
      </c>
      <c r="AM113" s="5" t="s">
        <v>101</v>
      </c>
      <c r="AN113" s="5"/>
      <c r="AO113" s="5" t="s">
        <v>188</v>
      </c>
      <c r="AP113" s="5" t="s">
        <v>101</v>
      </c>
      <c r="AQ113" s="5"/>
      <c r="AR113" s="5"/>
      <c r="AS113" s="5"/>
      <c r="AT113" s="5" t="s">
        <v>101</v>
      </c>
      <c r="AU113" s="5"/>
      <c r="AV113" s="5" t="s">
        <v>101</v>
      </c>
      <c r="AW113" s="5"/>
      <c r="AX113" s="5"/>
      <c r="AY113" s="5"/>
      <c r="AZ113" s="6" t="str">
        <f t="shared" si="21"/>
        <v>Missing</v>
      </c>
      <c r="BA113" s="7" t="str">
        <f t="shared" ca="1" si="22"/>
        <v>Missing</v>
      </c>
      <c r="BB113" s="7" t="str">
        <f t="shared" si="23"/>
        <v>Missing</v>
      </c>
      <c r="BC113" s="7" t="str">
        <f t="shared" si="24"/>
        <v>OK</v>
      </c>
      <c r="BD113" s="7" t="str">
        <f t="shared" si="25"/>
        <v>Clear</v>
      </c>
      <c r="BE113" s="7" t="str">
        <f t="shared" ca="1" si="26"/>
        <v/>
      </c>
      <c r="BF113" s="7" t="str">
        <f t="shared" ca="1" si="27"/>
        <v/>
      </c>
    </row>
    <row r="114" spans="1:58" x14ac:dyDescent="0.2">
      <c r="A114" s="3" t="s">
        <v>600</v>
      </c>
      <c r="B114" s="3">
        <v>20</v>
      </c>
      <c r="C114" s="3" t="s">
        <v>544</v>
      </c>
      <c r="D114" s="3">
        <v>2810</v>
      </c>
      <c r="E114" s="3" t="s">
        <v>601</v>
      </c>
      <c r="F114" s="3" t="s">
        <v>602</v>
      </c>
      <c r="G114" s="3" t="s">
        <v>603</v>
      </c>
      <c r="H114" s="4" t="s">
        <v>186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 t="s">
        <v>187</v>
      </c>
      <c r="W114" s="5"/>
      <c r="X114" s="5"/>
      <c r="Y114" s="5"/>
      <c r="Z114" s="5" t="s">
        <v>101</v>
      </c>
      <c r="AA114" s="5" t="s">
        <v>101</v>
      </c>
      <c r="AB114" s="5"/>
      <c r="AC114" s="5"/>
      <c r="AD114" s="5"/>
      <c r="AE114" s="5"/>
      <c r="AF114" s="5" t="s">
        <v>101</v>
      </c>
      <c r="AG114" s="5" t="s">
        <v>101</v>
      </c>
      <c r="AH114" s="5" t="s">
        <v>101</v>
      </c>
      <c r="AI114" s="5" t="s">
        <v>101</v>
      </c>
      <c r="AJ114" s="5" t="s">
        <v>101</v>
      </c>
      <c r="AK114" s="5" t="s">
        <v>101</v>
      </c>
      <c r="AL114" s="5" t="s">
        <v>101</v>
      </c>
      <c r="AM114" s="5" t="s">
        <v>101</v>
      </c>
      <c r="AN114" s="5"/>
      <c r="AO114" s="5" t="s">
        <v>188</v>
      </c>
      <c r="AP114" s="5" t="s">
        <v>101</v>
      </c>
      <c r="AQ114" s="5"/>
      <c r="AR114" s="5"/>
      <c r="AS114" s="5"/>
      <c r="AT114" s="5" t="s">
        <v>101</v>
      </c>
      <c r="AU114" s="5"/>
      <c r="AV114" s="5" t="s">
        <v>101</v>
      </c>
      <c r="AW114" s="5"/>
      <c r="AX114" s="5"/>
      <c r="AY114" s="5"/>
      <c r="AZ114" s="6" t="str">
        <f t="shared" si="21"/>
        <v>Missing</v>
      </c>
      <c r="BA114" s="7" t="str">
        <f t="shared" ca="1" si="22"/>
        <v>Missing</v>
      </c>
      <c r="BB114" s="7" t="str">
        <f t="shared" si="23"/>
        <v>Missing</v>
      </c>
      <c r="BC114" s="7" t="str">
        <f t="shared" si="24"/>
        <v>OK</v>
      </c>
      <c r="BD114" s="7" t="str">
        <f t="shared" si="25"/>
        <v>Clear</v>
      </c>
      <c r="BE114" s="7" t="str">
        <f t="shared" ca="1" si="26"/>
        <v/>
      </c>
      <c r="BF114" s="7" t="str">
        <f t="shared" ca="1" si="27"/>
        <v/>
      </c>
    </row>
    <row r="115" spans="1:58" x14ac:dyDescent="0.2">
      <c r="A115" s="3" t="s">
        <v>604</v>
      </c>
      <c r="B115" s="3">
        <v>20</v>
      </c>
      <c r="C115" s="3" t="s">
        <v>544</v>
      </c>
      <c r="D115" s="3">
        <v>2812</v>
      </c>
      <c r="E115" s="3" t="s">
        <v>605</v>
      </c>
      <c r="F115" s="3" t="s">
        <v>606</v>
      </c>
      <c r="G115" s="3" t="s">
        <v>607</v>
      </c>
      <c r="H115" s="4" t="s">
        <v>186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 t="s">
        <v>187</v>
      </c>
      <c r="W115" s="5"/>
      <c r="X115" s="5"/>
      <c r="Y115" s="5"/>
      <c r="Z115" s="5" t="s">
        <v>101</v>
      </c>
      <c r="AA115" s="5" t="s">
        <v>101</v>
      </c>
      <c r="AB115" s="5"/>
      <c r="AC115" s="5"/>
      <c r="AD115" s="5"/>
      <c r="AE115" s="5"/>
      <c r="AF115" s="5" t="s">
        <v>101</v>
      </c>
      <c r="AG115" s="5" t="s">
        <v>101</v>
      </c>
      <c r="AH115" s="5" t="s">
        <v>101</v>
      </c>
      <c r="AI115" s="5" t="s">
        <v>101</v>
      </c>
      <c r="AJ115" s="5" t="s">
        <v>101</v>
      </c>
      <c r="AK115" s="5" t="s">
        <v>101</v>
      </c>
      <c r="AL115" s="5" t="s">
        <v>101</v>
      </c>
      <c r="AM115" s="5" t="s">
        <v>101</v>
      </c>
      <c r="AN115" s="5"/>
      <c r="AO115" s="5" t="s">
        <v>188</v>
      </c>
      <c r="AP115" s="5" t="s">
        <v>101</v>
      </c>
      <c r="AQ115" s="5"/>
      <c r="AR115" s="5"/>
      <c r="AS115" s="5"/>
      <c r="AT115" s="5" t="s">
        <v>101</v>
      </c>
      <c r="AU115" s="5"/>
      <c r="AV115" s="5" t="s">
        <v>101</v>
      </c>
      <c r="AW115" s="5"/>
      <c r="AX115" s="5"/>
      <c r="AY115" s="5"/>
      <c r="AZ115" s="6" t="str">
        <f t="shared" si="21"/>
        <v>Missing</v>
      </c>
      <c r="BA115" s="7" t="str">
        <f t="shared" ca="1" si="22"/>
        <v>Missing</v>
      </c>
      <c r="BB115" s="7" t="str">
        <f t="shared" si="23"/>
        <v>Missing</v>
      </c>
      <c r="BC115" s="7" t="str">
        <f t="shared" si="24"/>
        <v>OK</v>
      </c>
      <c r="BD115" s="7" t="str">
        <f t="shared" si="25"/>
        <v>Clear</v>
      </c>
      <c r="BE115" s="7" t="str">
        <f t="shared" ca="1" si="26"/>
        <v/>
      </c>
      <c r="BF115" s="7" t="str">
        <f t="shared" ca="1" si="27"/>
        <v/>
      </c>
    </row>
    <row r="116" spans="1:58" x14ac:dyDescent="0.2">
      <c r="A116" s="3" t="s">
        <v>608</v>
      </c>
      <c r="B116" s="3">
        <v>20</v>
      </c>
      <c r="C116" s="3" t="s">
        <v>544</v>
      </c>
      <c r="D116" s="3">
        <v>2814</v>
      </c>
      <c r="E116" s="3" t="s">
        <v>609</v>
      </c>
      <c r="F116" s="3" t="s">
        <v>610</v>
      </c>
      <c r="G116" s="3" t="s">
        <v>611</v>
      </c>
      <c r="H116" s="4" t="s">
        <v>186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 t="s">
        <v>187</v>
      </c>
      <c r="W116" s="5"/>
      <c r="X116" s="5"/>
      <c r="Y116" s="5"/>
      <c r="Z116" s="5" t="s">
        <v>101</v>
      </c>
      <c r="AA116" s="5" t="s">
        <v>101</v>
      </c>
      <c r="AB116" s="5"/>
      <c r="AC116" s="5"/>
      <c r="AD116" s="5"/>
      <c r="AE116" s="5"/>
      <c r="AF116" s="5" t="s">
        <v>101</v>
      </c>
      <c r="AG116" s="5" t="s">
        <v>101</v>
      </c>
      <c r="AH116" s="5" t="s">
        <v>101</v>
      </c>
      <c r="AI116" s="5" t="s">
        <v>101</v>
      </c>
      <c r="AJ116" s="5" t="s">
        <v>101</v>
      </c>
      <c r="AK116" s="5" t="s">
        <v>101</v>
      </c>
      <c r="AL116" s="5" t="s">
        <v>101</v>
      </c>
      <c r="AM116" s="5" t="s">
        <v>101</v>
      </c>
      <c r="AN116" s="5"/>
      <c r="AO116" s="5" t="s">
        <v>188</v>
      </c>
      <c r="AP116" s="5" t="s">
        <v>101</v>
      </c>
      <c r="AQ116" s="5"/>
      <c r="AR116" s="5"/>
      <c r="AS116" s="5"/>
      <c r="AT116" s="5" t="s">
        <v>101</v>
      </c>
      <c r="AU116" s="5"/>
      <c r="AV116" s="5" t="s">
        <v>101</v>
      </c>
      <c r="AW116" s="5"/>
      <c r="AX116" s="5"/>
      <c r="AY116" s="5"/>
      <c r="AZ116" s="6" t="str">
        <f t="shared" si="21"/>
        <v>Missing</v>
      </c>
      <c r="BA116" s="7" t="str">
        <f t="shared" ca="1" si="22"/>
        <v>Missing</v>
      </c>
      <c r="BB116" s="7" t="str">
        <f t="shared" si="23"/>
        <v>Missing</v>
      </c>
      <c r="BC116" s="7" t="str">
        <f t="shared" si="24"/>
        <v>OK</v>
      </c>
      <c r="BD116" s="7" t="str">
        <f t="shared" si="25"/>
        <v>Clear</v>
      </c>
      <c r="BE116" s="7" t="str">
        <f t="shared" ca="1" si="26"/>
        <v/>
      </c>
      <c r="BF116" s="7" t="str">
        <f t="shared" ca="1" si="27"/>
        <v/>
      </c>
    </row>
    <row r="117" spans="1:58" x14ac:dyDescent="0.2">
      <c r="A117" s="4" t="s">
        <v>81</v>
      </c>
      <c r="B117" s="4">
        <v>21</v>
      </c>
      <c r="C117" s="4" t="s">
        <v>41</v>
      </c>
      <c r="D117" s="4">
        <v>2818</v>
      </c>
      <c r="E117" s="4" t="s">
        <v>82</v>
      </c>
      <c r="F117" s="4" t="s">
        <v>83</v>
      </c>
      <c r="G117" s="4" t="s">
        <v>612</v>
      </c>
      <c r="H117" s="15" t="s">
        <v>44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 t="s">
        <v>187</v>
      </c>
      <c r="W117" s="16"/>
      <c r="X117" s="16"/>
      <c r="Y117" s="16"/>
      <c r="Z117" s="16" t="s">
        <v>101</v>
      </c>
      <c r="AA117" s="16" t="s">
        <v>101</v>
      </c>
      <c r="AB117" s="16"/>
      <c r="AC117" s="16"/>
      <c r="AD117" s="16"/>
      <c r="AE117" s="16"/>
      <c r="AF117" s="16" t="s">
        <v>101</v>
      </c>
      <c r="AG117" s="16" t="s">
        <v>101</v>
      </c>
      <c r="AH117" s="16" t="s">
        <v>101</v>
      </c>
      <c r="AI117" s="16" t="s">
        <v>101</v>
      </c>
      <c r="AJ117" s="16" t="s">
        <v>101</v>
      </c>
      <c r="AK117" s="16" t="s">
        <v>101</v>
      </c>
      <c r="AL117" s="16" t="s">
        <v>101</v>
      </c>
      <c r="AM117" s="16" t="s">
        <v>101</v>
      </c>
      <c r="AN117" s="16"/>
      <c r="AO117" s="16" t="s">
        <v>188</v>
      </c>
      <c r="AP117" s="16" t="s">
        <v>101</v>
      </c>
      <c r="AQ117" s="16"/>
      <c r="AR117" s="16"/>
      <c r="AS117" s="16"/>
      <c r="AT117" s="16" t="s">
        <v>101</v>
      </c>
      <c r="AU117" s="16"/>
      <c r="AV117" s="16" t="s">
        <v>101</v>
      </c>
      <c r="AW117" s="16"/>
      <c r="AX117" s="16"/>
      <c r="AY117" s="16"/>
      <c r="AZ117" s="16" t="str">
        <f t="shared" si="21"/>
        <v>Missing</v>
      </c>
      <c r="BA117" s="4" t="str">
        <f t="shared" ca="1" si="22"/>
        <v>Missing</v>
      </c>
      <c r="BB117" s="4" t="str">
        <f t="shared" si="23"/>
        <v>Missing</v>
      </c>
      <c r="BC117" s="4" t="str">
        <f t="shared" si="24"/>
        <v>OK</v>
      </c>
      <c r="BD117" s="4" t="str">
        <f t="shared" si="25"/>
        <v>Clear</v>
      </c>
      <c r="BE117" s="4" t="str">
        <f t="shared" ca="1" si="26"/>
        <v/>
      </c>
      <c r="BF117" s="4" t="str">
        <f t="shared" ca="1" si="27"/>
        <v/>
      </c>
    </row>
    <row r="118" spans="1:58" x14ac:dyDescent="0.2">
      <c r="A118" s="4" t="s">
        <v>84</v>
      </c>
      <c r="B118" s="4">
        <v>21</v>
      </c>
      <c r="C118" s="4" t="s">
        <v>41</v>
      </c>
      <c r="D118" s="4">
        <v>2820</v>
      </c>
      <c r="E118" s="4" t="s">
        <v>85</v>
      </c>
      <c r="F118" s="4" t="s">
        <v>86</v>
      </c>
      <c r="G118" s="4" t="s">
        <v>613</v>
      </c>
      <c r="H118" s="15" t="s">
        <v>44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 t="s">
        <v>187</v>
      </c>
      <c r="W118" s="16"/>
      <c r="X118" s="16"/>
      <c r="Y118" s="16"/>
      <c r="Z118" s="16" t="s">
        <v>101</v>
      </c>
      <c r="AA118" s="16" t="s">
        <v>101</v>
      </c>
      <c r="AB118" s="16"/>
      <c r="AC118" s="16"/>
      <c r="AD118" s="16"/>
      <c r="AE118" s="16"/>
      <c r="AF118" s="16" t="s">
        <v>101</v>
      </c>
      <c r="AG118" s="16" t="s">
        <v>101</v>
      </c>
      <c r="AH118" s="16" t="s">
        <v>101</v>
      </c>
      <c r="AI118" s="16" t="s">
        <v>101</v>
      </c>
      <c r="AJ118" s="16" t="s">
        <v>101</v>
      </c>
      <c r="AK118" s="16" t="s">
        <v>101</v>
      </c>
      <c r="AL118" s="16" t="s">
        <v>101</v>
      </c>
      <c r="AM118" s="16" t="s">
        <v>101</v>
      </c>
      <c r="AN118" s="16"/>
      <c r="AO118" s="16" t="s">
        <v>188</v>
      </c>
      <c r="AP118" s="16" t="s">
        <v>101</v>
      </c>
      <c r="AQ118" s="16"/>
      <c r="AR118" s="16"/>
      <c r="AS118" s="16"/>
      <c r="AT118" s="16" t="s">
        <v>101</v>
      </c>
      <c r="AU118" s="16"/>
      <c r="AV118" s="16" t="s">
        <v>101</v>
      </c>
      <c r="AW118" s="16"/>
      <c r="AX118" s="16"/>
      <c r="AY118" s="16"/>
      <c r="AZ118" s="16" t="str">
        <f t="shared" si="21"/>
        <v>Missing</v>
      </c>
      <c r="BA118" s="4" t="str">
        <f t="shared" ca="1" si="22"/>
        <v>Missing</v>
      </c>
      <c r="BB118" s="4" t="str">
        <f t="shared" si="23"/>
        <v>Missing</v>
      </c>
      <c r="BC118" s="4" t="str">
        <f t="shared" si="24"/>
        <v>OK</v>
      </c>
      <c r="BD118" s="4" t="str">
        <f t="shared" si="25"/>
        <v>Clear</v>
      </c>
      <c r="BE118" s="4" t="str">
        <f t="shared" ca="1" si="26"/>
        <v/>
      </c>
      <c r="BF118" s="4" t="str">
        <f t="shared" ca="1" si="27"/>
        <v/>
      </c>
    </row>
    <row r="119" spans="1:58" x14ac:dyDescent="0.2">
      <c r="A119" s="4" t="s">
        <v>87</v>
      </c>
      <c r="B119" s="4">
        <v>21</v>
      </c>
      <c r="C119" s="4" t="s">
        <v>41</v>
      </c>
      <c r="D119" s="4">
        <v>2822</v>
      </c>
      <c r="E119" s="4" t="s">
        <v>88</v>
      </c>
      <c r="F119" s="4" t="s">
        <v>89</v>
      </c>
      <c r="G119" s="4" t="s">
        <v>614</v>
      </c>
      <c r="H119" s="15" t="s">
        <v>44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 t="s">
        <v>187</v>
      </c>
      <c r="W119" s="16"/>
      <c r="X119" s="16"/>
      <c r="Y119" s="16"/>
      <c r="Z119" s="16" t="s">
        <v>101</v>
      </c>
      <c r="AA119" s="16" t="s">
        <v>101</v>
      </c>
      <c r="AB119" s="16"/>
      <c r="AC119" s="16"/>
      <c r="AD119" s="16"/>
      <c r="AE119" s="16"/>
      <c r="AF119" s="16" t="s">
        <v>101</v>
      </c>
      <c r="AG119" s="16" t="s">
        <v>101</v>
      </c>
      <c r="AH119" s="16" t="s">
        <v>101</v>
      </c>
      <c r="AI119" s="16" t="s">
        <v>101</v>
      </c>
      <c r="AJ119" s="16" t="s">
        <v>101</v>
      </c>
      <c r="AK119" s="16" t="s">
        <v>101</v>
      </c>
      <c r="AL119" s="16" t="s">
        <v>101</v>
      </c>
      <c r="AM119" s="16" t="s">
        <v>101</v>
      </c>
      <c r="AN119" s="16"/>
      <c r="AO119" s="16" t="s">
        <v>188</v>
      </c>
      <c r="AP119" s="16" t="s">
        <v>101</v>
      </c>
      <c r="AQ119" s="16"/>
      <c r="AR119" s="16"/>
      <c r="AS119" s="16"/>
      <c r="AT119" s="16" t="s">
        <v>101</v>
      </c>
      <c r="AU119" s="16"/>
      <c r="AV119" s="16" t="s">
        <v>101</v>
      </c>
      <c r="AW119" s="16"/>
      <c r="AX119" s="16"/>
      <c r="AY119" s="16"/>
      <c r="AZ119" s="16" t="str">
        <f t="shared" si="21"/>
        <v>Missing</v>
      </c>
      <c r="BA119" s="4" t="str">
        <f t="shared" ca="1" si="22"/>
        <v>Missing</v>
      </c>
      <c r="BB119" s="4" t="str">
        <f t="shared" si="23"/>
        <v>Missing</v>
      </c>
      <c r="BC119" s="4" t="str">
        <f t="shared" si="24"/>
        <v>OK</v>
      </c>
      <c r="BD119" s="4" t="str">
        <f t="shared" si="25"/>
        <v>Clear</v>
      </c>
      <c r="BE119" s="4" t="str">
        <f t="shared" ca="1" si="26"/>
        <v/>
      </c>
      <c r="BF119" s="4" t="str">
        <f t="shared" ca="1" si="27"/>
        <v/>
      </c>
    </row>
    <row r="120" spans="1:58" x14ac:dyDescent="0.2">
      <c r="A120" s="4" t="s">
        <v>90</v>
      </c>
      <c r="B120" s="4">
        <v>21</v>
      </c>
      <c r="C120" s="4" t="s">
        <v>41</v>
      </c>
      <c r="D120" s="4">
        <v>2824</v>
      </c>
      <c r="E120" s="4" t="s">
        <v>91</v>
      </c>
      <c r="F120" s="4" t="s">
        <v>92</v>
      </c>
      <c r="G120" s="4" t="s">
        <v>615</v>
      </c>
      <c r="H120" s="15" t="s">
        <v>44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 t="s">
        <v>187</v>
      </c>
      <c r="W120" s="16"/>
      <c r="X120" s="16"/>
      <c r="Y120" s="16"/>
      <c r="Z120" s="16" t="s">
        <v>101</v>
      </c>
      <c r="AA120" s="16" t="s">
        <v>101</v>
      </c>
      <c r="AB120" s="16"/>
      <c r="AC120" s="16"/>
      <c r="AD120" s="16"/>
      <c r="AE120" s="16"/>
      <c r="AF120" s="16" t="s">
        <v>101</v>
      </c>
      <c r="AG120" s="16" t="s">
        <v>101</v>
      </c>
      <c r="AH120" s="16" t="s">
        <v>101</v>
      </c>
      <c r="AI120" s="16" t="s">
        <v>101</v>
      </c>
      <c r="AJ120" s="16" t="s">
        <v>101</v>
      </c>
      <c r="AK120" s="16" t="s">
        <v>101</v>
      </c>
      <c r="AL120" s="16" t="s">
        <v>101</v>
      </c>
      <c r="AM120" s="16" t="s">
        <v>101</v>
      </c>
      <c r="AN120" s="16"/>
      <c r="AO120" s="16" t="s">
        <v>188</v>
      </c>
      <c r="AP120" s="16" t="s">
        <v>101</v>
      </c>
      <c r="AQ120" s="16"/>
      <c r="AR120" s="16"/>
      <c r="AS120" s="16"/>
      <c r="AT120" s="16" t="s">
        <v>101</v>
      </c>
      <c r="AU120" s="16"/>
      <c r="AV120" s="16" t="s">
        <v>101</v>
      </c>
      <c r="AW120" s="16"/>
      <c r="AX120" s="16"/>
      <c r="AY120" s="16"/>
      <c r="AZ120" s="16" t="str">
        <f t="shared" si="21"/>
        <v>Missing</v>
      </c>
      <c r="BA120" s="4" t="str">
        <f t="shared" ca="1" si="22"/>
        <v>Missing</v>
      </c>
      <c r="BB120" s="4" t="str">
        <f t="shared" si="23"/>
        <v>Missing</v>
      </c>
      <c r="BC120" s="4" t="str">
        <f t="shared" si="24"/>
        <v>OK</v>
      </c>
      <c r="BD120" s="4" t="str">
        <f t="shared" si="25"/>
        <v>Clear</v>
      </c>
      <c r="BE120" s="4" t="str">
        <f t="shared" ca="1" si="26"/>
        <v/>
      </c>
      <c r="BF120" s="4" t="str">
        <f t="shared" ca="1" si="27"/>
        <v/>
      </c>
    </row>
    <row r="121" spans="1:58" x14ac:dyDescent="0.2">
      <c r="A121" s="4" t="s">
        <v>93</v>
      </c>
      <c r="B121" s="4">
        <v>21</v>
      </c>
      <c r="C121" s="4" t="s">
        <v>41</v>
      </c>
      <c r="D121" s="4">
        <v>2826</v>
      </c>
      <c r="E121" s="4" t="s">
        <v>94</v>
      </c>
      <c r="F121" s="4" t="s">
        <v>95</v>
      </c>
      <c r="G121" s="4" t="s">
        <v>616</v>
      </c>
      <c r="H121" s="15" t="s">
        <v>44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 t="s">
        <v>187</v>
      </c>
      <c r="W121" s="16"/>
      <c r="X121" s="16"/>
      <c r="Y121" s="16"/>
      <c r="Z121" s="16" t="s">
        <v>101</v>
      </c>
      <c r="AA121" s="16" t="s">
        <v>101</v>
      </c>
      <c r="AB121" s="16"/>
      <c r="AC121" s="16"/>
      <c r="AD121" s="16"/>
      <c r="AE121" s="16"/>
      <c r="AF121" s="16" t="s">
        <v>101</v>
      </c>
      <c r="AG121" s="16" t="s">
        <v>101</v>
      </c>
      <c r="AH121" s="16" t="s">
        <v>101</v>
      </c>
      <c r="AI121" s="16" t="s">
        <v>101</v>
      </c>
      <c r="AJ121" s="16" t="s">
        <v>101</v>
      </c>
      <c r="AK121" s="16" t="s">
        <v>101</v>
      </c>
      <c r="AL121" s="16" t="s">
        <v>101</v>
      </c>
      <c r="AM121" s="16" t="s">
        <v>101</v>
      </c>
      <c r="AN121" s="16"/>
      <c r="AO121" s="16" t="s">
        <v>188</v>
      </c>
      <c r="AP121" s="16" t="s">
        <v>101</v>
      </c>
      <c r="AQ121" s="16"/>
      <c r="AR121" s="16"/>
      <c r="AS121" s="16"/>
      <c r="AT121" s="16" t="s">
        <v>101</v>
      </c>
      <c r="AU121" s="16"/>
      <c r="AV121" s="16" t="s">
        <v>101</v>
      </c>
      <c r="AW121" s="16"/>
      <c r="AX121" s="16"/>
      <c r="AY121" s="16"/>
      <c r="AZ121" s="16" t="str">
        <f t="shared" si="21"/>
        <v>Missing</v>
      </c>
      <c r="BA121" s="4" t="str">
        <f t="shared" ca="1" si="22"/>
        <v>Missing</v>
      </c>
      <c r="BB121" s="4" t="str">
        <f t="shared" si="23"/>
        <v>Missing</v>
      </c>
      <c r="BC121" s="4" t="str">
        <f t="shared" si="24"/>
        <v>OK</v>
      </c>
      <c r="BD121" s="4" t="str">
        <f t="shared" si="25"/>
        <v>Clear</v>
      </c>
      <c r="BE121" s="4" t="str">
        <f t="shared" ca="1" si="26"/>
        <v/>
      </c>
      <c r="BF121" s="4" t="str">
        <f t="shared" ca="1" si="27"/>
        <v/>
      </c>
    </row>
    <row r="122" spans="1:58" x14ac:dyDescent="0.2">
      <c r="A122" s="3" t="s">
        <v>617</v>
      </c>
      <c r="B122" s="3">
        <v>22</v>
      </c>
      <c r="C122" s="3" t="s">
        <v>41</v>
      </c>
      <c r="D122" s="3">
        <v>2602</v>
      </c>
      <c r="E122" s="3" t="s">
        <v>618</v>
      </c>
      <c r="F122" s="3" t="s">
        <v>619</v>
      </c>
      <c r="G122" s="3" t="s">
        <v>620</v>
      </c>
      <c r="H122" s="4" t="s">
        <v>186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 t="s">
        <v>187</v>
      </c>
      <c r="W122" s="5"/>
      <c r="X122" s="5"/>
      <c r="Y122" s="5"/>
      <c r="Z122" s="5" t="s">
        <v>101</v>
      </c>
      <c r="AA122" s="5" t="s">
        <v>101</v>
      </c>
      <c r="AB122" s="5"/>
      <c r="AC122" s="5"/>
      <c r="AD122" s="5"/>
      <c r="AE122" s="5"/>
      <c r="AF122" s="5" t="s">
        <v>101</v>
      </c>
      <c r="AG122" s="5" t="s">
        <v>101</v>
      </c>
      <c r="AH122" s="5" t="s">
        <v>101</v>
      </c>
      <c r="AI122" s="5" t="s">
        <v>101</v>
      </c>
      <c r="AJ122" s="5" t="s">
        <v>101</v>
      </c>
      <c r="AK122" s="5" t="s">
        <v>101</v>
      </c>
      <c r="AL122" s="5" t="s">
        <v>101</v>
      </c>
      <c r="AM122" s="5" t="s">
        <v>101</v>
      </c>
      <c r="AN122" s="5"/>
      <c r="AO122" s="5" t="s">
        <v>188</v>
      </c>
      <c r="AP122" s="5" t="s">
        <v>101</v>
      </c>
      <c r="AQ122" s="5"/>
      <c r="AR122" s="5"/>
      <c r="AS122" s="5"/>
      <c r="AT122" s="5" t="s">
        <v>101</v>
      </c>
      <c r="AU122" s="5"/>
      <c r="AV122" s="5" t="s">
        <v>101</v>
      </c>
      <c r="AW122" s="5"/>
      <c r="AX122" s="5"/>
      <c r="AY122" s="5"/>
      <c r="AZ122" s="6" t="str">
        <f t="shared" si="21"/>
        <v>Missing</v>
      </c>
      <c r="BA122" s="7" t="str">
        <f t="shared" ca="1" si="22"/>
        <v>Missing</v>
      </c>
      <c r="BB122" s="7" t="str">
        <f t="shared" si="23"/>
        <v>Missing</v>
      </c>
      <c r="BC122" s="7" t="str">
        <f t="shared" si="24"/>
        <v>OK</v>
      </c>
      <c r="BD122" s="7" t="str">
        <f t="shared" si="25"/>
        <v>Clear</v>
      </c>
      <c r="BE122" s="7" t="str">
        <f t="shared" ca="1" si="26"/>
        <v/>
      </c>
      <c r="BF122" s="7" t="str">
        <f t="shared" ca="1" si="27"/>
        <v/>
      </c>
    </row>
    <row r="123" spans="1:58" x14ac:dyDescent="0.2">
      <c r="A123" s="3" t="s">
        <v>621</v>
      </c>
      <c r="B123" s="3">
        <v>22</v>
      </c>
      <c r="C123" s="3" t="s">
        <v>41</v>
      </c>
      <c r="D123" s="3">
        <v>2604</v>
      </c>
      <c r="E123" s="3" t="s">
        <v>622</v>
      </c>
      <c r="F123" s="3" t="s">
        <v>623</v>
      </c>
      <c r="G123" s="3" t="s">
        <v>624</v>
      </c>
      <c r="H123" s="4" t="s">
        <v>186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 t="s">
        <v>187</v>
      </c>
      <c r="W123" s="5"/>
      <c r="X123" s="5"/>
      <c r="Y123" s="5"/>
      <c r="Z123" s="5" t="s">
        <v>101</v>
      </c>
      <c r="AA123" s="5" t="s">
        <v>101</v>
      </c>
      <c r="AB123" s="5"/>
      <c r="AC123" s="5"/>
      <c r="AD123" s="5"/>
      <c r="AE123" s="5"/>
      <c r="AF123" s="5" t="s">
        <v>101</v>
      </c>
      <c r="AG123" s="5" t="s">
        <v>101</v>
      </c>
      <c r="AH123" s="5" t="s">
        <v>101</v>
      </c>
      <c r="AI123" s="5" t="s">
        <v>101</v>
      </c>
      <c r="AJ123" s="5" t="s">
        <v>101</v>
      </c>
      <c r="AK123" s="5" t="s">
        <v>101</v>
      </c>
      <c r="AL123" s="5" t="s">
        <v>101</v>
      </c>
      <c r="AM123" s="5" t="s">
        <v>101</v>
      </c>
      <c r="AN123" s="5"/>
      <c r="AO123" s="5" t="s">
        <v>188</v>
      </c>
      <c r="AP123" s="5" t="s">
        <v>101</v>
      </c>
      <c r="AQ123" s="5"/>
      <c r="AR123" s="5"/>
      <c r="AS123" s="5"/>
      <c r="AT123" s="5" t="s">
        <v>101</v>
      </c>
      <c r="AU123" s="5"/>
      <c r="AV123" s="5" t="s">
        <v>101</v>
      </c>
      <c r="AW123" s="5"/>
      <c r="AX123" s="5"/>
      <c r="AY123" s="5"/>
      <c r="AZ123" s="6" t="str">
        <f t="shared" si="21"/>
        <v>Missing</v>
      </c>
      <c r="BA123" s="7" t="str">
        <f t="shared" ca="1" si="22"/>
        <v>Missing</v>
      </c>
      <c r="BB123" s="7" t="str">
        <f t="shared" si="23"/>
        <v>Missing</v>
      </c>
      <c r="BC123" s="7" t="str">
        <f t="shared" si="24"/>
        <v>OK</v>
      </c>
      <c r="BD123" s="7" t="str">
        <f t="shared" si="25"/>
        <v>Clear</v>
      </c>
      <c r="BE123" s="7" t="str">
        <f t="shared" ca="1" si="26"/>
        <v/>
      </c>
      <c r="BF123" s="7" t="str">
        <f t="shared" ca="1" si="27"/>
        <v/>
      </c>
    </row>
    <row r="124" spans="1:58" x14ac:dyDescent="0.2">
      <c r="A124" s="3" t="s">
        <v>625</v>
      </c>
      <c r="B124" s="3">
        <v>22</v>
      </c>
      <c r="C124" s="3" t="s">
        <v>41</v>
      </c>
      <c r="D124" s="3">
        <v>2606</v>
      </c>
      <c r="E124" s="3" t="s">
        <v>626</v>
      </c>
      <c r="F124" s="3" t="s">
        <v>627</v>
      </c>
      <c r="G124" s="3" t="s">
        <v>628</v>
      </c>
      <c r="H124" s="4" t="s">
        <v>186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 t="s">
        <v>187</v>
      </c>
      <c r="W124" s="5"/>
      <c r="X124" s="5"/>
      <c r="Y124" s="5"/>
      <c r="Z124" s="5" t="s">
        <v>101</v>
      </c>
      <c r="AA124" s="5" t="s">
        <v>101</v>
      </c>
      <c r="AB124" s="5"/>
      <c r="AC124" s="5"/>
      <c r="AD124" s="5"/>
      <c r="AE124" s="5"/>
      <c r="AF124" s="5" t="s">
        <v>101</v>
      </c>
      <c r="AG124" s="5" t="s">
        <v>101</v>
      </c>
      <c r="AH124" s="5" t="s">
        <v>101</v>
      </c>
      <c r="AI124" s="5" t="s">
        <v>101</v>
      </c>
      <c r="AJ124" s="5" t="s">
        <v>101</v>
      </c>
      <c r="AK124" s="5" t="s">
        <v>101</v>
      </c>
      <c r="AL124" s="5" t="s">
        <v>101</v>
      </c>
      <c r="AM124" s="5" t="s">
        <v>101</v>
      </c>
      <c r="AN124" s="5"/>
      <c r="AO124" s="5" t="s">
        <v>188</v>
      </c>
      <c r="AP124" s="5" t="s">
        <v>101</v>
      </c>
      <c r="AQ124" s="5"/>
      <c r="AR124" s="5"/>
      <c r="AS124" s="5"/>
      <c r="AT124" s="5" t="s">
        <v>101</v>
      </c>
      <c r="AU124" s="5"/>
      <c r="AV124" s="5" t="s">
        <v>101</v>
      </c>
      <c r="AW124" s="5"/>
      <c r="AX124" s="5"/>
      <c r="AY124" s="5"/>
      <c r="AZ124" s="6" t="str">
        <f t="shared" si="21"/>
        <v>Missing</v>
      </c>
      <c r="BA124" s="7" t="str">
        <f t="shared" ca="1" si="22"/>
        <v>Missing</v>
      </c>
      <c r="BB124" s="7" t="str">
        <f t="shared" si="23"/>
        <v>Missing</v>
      </c>
      <c r="BC124" s="7" t="str">
        <f t="shared" si="24"/>
        <v>OK</v>
      </c>
      <c r="BD124" s="7" t="str">
        <f t="shared" si="25"/>
        <v>Clear</v>
      </c>
      <c r="BE124" s="7" t="str">
        <f t="shared" ca="1" si="26"/>
        <v/>
      </c>
      <c r="BF124" s="7" t="str">
        <f t="shared" ca="1" si="27"/>
        <v/>
      </c>
    </row>
    <row r="125" spans="1:58" x14ac:dyDescent="0.2">
      <c r="A125" s="3" t="s">
        <v>629</v>
      </c>
      <c r="B125" s="3">
        <v>22</v>
      </c>
      <c r="C125" s="3" t="s">
        <v>41</v>
      </c>
      <c r="D125" s="3">
        <v>2608</v>
      </c>
      <c r="E125" s="3" t="s">
        <v>630</v>
      </c>
      <c r="F125" s="3" t="s">
        <v>631</v>
      </c>
      <c r="G125" s="3" t="s">
        <v>632</v>
      </c>
      <c r="H125" s="4" t="s">
        <v>186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 t="s">
        <v>187</v>
      </c>
      <c r="W125" s="5"/>
      <c r="X125" s="5"/>
      <c r="Y125" s="5"/>
      <c r="Z125" s="5" t="s">
        <v>101</v>
      </c>
      <c r="AA125" s="5" t="s">
        <v>101</v>
      </c>
      <c r="AB125" s="5"/>
      <c r="AC125" s="5"/>
      <c r="AD125" s="5"/>
      <c r="AE125" s="5"/>
      <c r="AF125" s="5" t="s">
        <v>101</v>
      </c>
      <c r="AG125" s="5" t="s">
        <v>101</v>
      </c>
      <c r="AH125" s="5" t="s">
        <v>101</v>
      </c>
      <c r="AI125" s="5" t="s">
        <v>101</v>
      </c>
      <c r="AJ125" s="5" t="s">
        <v>101</v>
      </c>
      <c r="AK125" s="5" t="s">
        <v>101</v>
      </c>
      <c r="AL125" s="5" t="s">
        <v>101</v>
      </c>
      <c r="AM125" s="5" t="s">
        <v>101</v>
      </c>
      <c r="AN125" s="5"/>
      <c r="AO125" s="5" t="s">
        <v>188</v>
      </c>
      <c r="AP125" s="5" t="s">
        <v>101</v>
      </c>
      <c r="AQ125" s="5"/>
      <c r="AR125" s="5"/>
      <c r="AS125" s="5"/>
      <c r="AT125" s="5" t="s">
        <v>101</v>
      </c>
      <c r="AU125" s="5"/>
      <c r="AV125" s="5" t="s">
        <v>101</v>
      </c>
      <c r="AW125" s="5"/>
      <c r="AX125" s="5"/>
      <c r="AY125" s="5"/>
      <c r="AZ125" s="6" t="str">
        <f t="shared" si="21"/>
        <v>Missing</v>
      </c>
      <c r="BA125" s="7" t="str">
        <f t="shared" ca="1" si="22"/>
        <v>Missing</v>
      </c>
      <c r="BB125" s="7" t="str">
        <f t="shared" si="23"/>
        <v>Missing</v>
      </c>
      <c r="BC125" s="7" t="str">
        <f t="shared" si="24"/>
        <v>OK</v>
      </c>
      <c r="BD125" s="7" t="str">
        <f t="shared" si="25"/>
        <v>Clear</v>
      </c>
      <c r="BE125" s="7" t="str">
        <f t="shared" ca="1" si="26"/>
        <v/>
      </c>
      <c r="BF125" s="7" t="str">
        <f t="shared" ca="1" si="27"/>
        <v/>
      </c>
    </row>
    <row r="126" spans="1:58" x14ac:dyDescent="0.2">
      <c r="A126" s="3" t="s">
        <v>633</v>
      </c>
      <c r="B126" s="3">
        <v>22</v>
      </c>
      <c r="C126" s="3" t="s">
        <v>41</v>
      </c>
      <c r="D126" s="3">
        <v>2610</v>
      </c>
      <c r="E126" s="3" t="s">
        <v>634</v>
      </c>
      <c r="F126" s="3" t="s">
        <v>635</v>
      </c>
      <c r="G126" s="3" t="s">
        <v>636</v>
      </c>
      <c r="H126" s="4" t="s">
        <v>186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 t="s">
        <v>187</v>
      </c>
      <c r="W126" s="5"/>
      <c r="X126" s="5"/>
      <c r="Y126" s="5"/>
      <c r="Z126" s="5" t="s">
        <v>101</v>
      </c>
      <c r="AA126" s="5" t="s">
        <v>101</v>
      </c>
      <c r="AB126" s="5"/>
      <c r="AC126" s="5"/>
      <c r="AD126" s="5"/>
      <c r="AE126" s="5"/>
      <c r="AF126" s="5" t="s">
        <v>101</v>
      </c>
      <c r="AG126" s="5" t="s">
        <v>101</v>
      </c>
      <c r="AH126" s="5" t="s">
        <v>101</v>
      </c>
      <c r="AI126" s="5" t="s">
        <v>101</v>
      </c>
      <c r="AJ126" s="5" t="s">
        <v>101</v>
      </c>
      <c r="AK126" s="5" t="s">
        <v>101</v>
      </c>
      <c r="AL126" s="5" t="s">
        <v>101</v>
      </c>
      <c r="AM126" s="5" t="s">
        <v>101</v>
      </c>
      <c r="AN126" s="5"/>
      <c r="AO126" s="5" t="s">
        <v>188</v>
      </c>
      <c r="AP126" s="5" t="s">
        <v>101</v>
      </c>
      <c r="AQ126" s="5"/>
      <c r="AR126" s="5"/>
      <c r="AS126" s="5"/>
      <c r="AT126" s="5" t="s">
        <v>101</v>
      </c>
      <c r="AU126" s="5"/>
      <c r="AV126" s="5" t="s">
        <v>101</v>
      </c>
      <c r="AW126" s="5"/>
      <c r="AX126" s="5"/>
      <c r="AY126" s="5"/>
      <c r="AZ126" s="6" t="str">
        <f t="shared" si="21"/>
        <v>Missing</v>
      </c>
      <c r="BA126" s="7" t="str">
        <f t="shared" ca="1" si="22"/>
        <v>Missing</v>
      </c>
      <c r="BB126" s="7" t="str">
        <f t="shared" si="23"/>
        <v>Missing</v>
      </c>
      <c r="BC126" s="7" t="str">
        <f t="shared" si="24"/>
        <v>OK</v>
      </c>
      <c r="BD126" s="7" t="str">
        <f t="shared" si="25"/>
        <v>Clear</v>
      </c>
      <c r="BE126" s="7" t="str">
        <f t="shared" ca="1" si="26"/>
        <v/>
      </c>
      <c r="BF126" s="7" t="str">
        <f t="shared" ca="1" si="27"/>
        <v/>
      </c>
    </row>
    <row r="127" spans="1:58" x14ac:dyDescent="0.2">
      <c r="A127" s="3" t="s">
        <v>637</v>
      </c>
      <c r="B127" s="3">
        <v>22</v>
      </c>
      <c r="C127" s="3" t="s">
        <v>41</v>
      </c>
      <c r="D127" s="3">
        <v>2612</v>
      </c>
      <c r="E127" s="3" t="s">
        <v>638</v>
      </c>
      <c r="F127" s="3" t="s">
        <v>639</v>
      </c>
      <c r="G127" s="3" t="s">
        <v>640</v>
      </c>
      <c r="H127" s="4" t="s">
        <v>186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 t="s">
        <v>187</v>
      </c>
      <c r="W127" s="5"/>
      <c r="X127" s="5"/>
      <c r="Y127" s="5"/>
      <c r="Z127" s="5" t="s">
        <v>101</v>
      </c>
      <c r="AA127" s="5" t="s">
        <v>101</v>
      </c>
      <c r="AB127" s="5"/>
      <c r="AC127" s="5"/>
      <c r="AD127" s="5"/>
      <c r="AE127" s="5"/>
      <c r="AF127" s="5" t="s">
        <v>101</v>
      </c>
      <c r="AG127" s="5" t="s">
        <v>101</v>
      </c>
      <c r="AH127" s="5" t="s">
        <v>101</v>
      </c>
      <c r="AI127" s="5" t="s">
        <v>101</v>
      </c>
      <c r="AJ127" s="5" t="s">
        <v>101</v>
      </c>
      <c r="AK127" s="5" t="s">
        <v>101</v>
      </c>
      <c r="AL127" s="5" t="s">
        <v>101</v>
      </c>
      <c r="AM127" s="5" t="s">
        <v>101</v>
      </c>
      <c r="AN127" s="5"/>
      <c r="AO127" s="5" t="s">
        <v>188</v>
      </c>
      <c r="AP127" s="5" t="s">
        <v>101</v>
      </c>
      <c r="AQ127" s="5"/>
      <c r="AR127" s="5"/>
      <c r="AS127" s="5"/>
      <c r="AT127" s="5" t="s">
        <v>101</v>
      </c>
      <c r="AU127" s="5"/>
      <c r="AV127" s="5" t="s">
        <v>101</v>
      </c>
      <c r="AW127" s="5"/>
      <c r="AX127" s="5"/>
      <c r="AY127" s="5"/>
      <c r="AZ127" s="6" t="str">
        <f t="shared" si="21"/>
        <v>Missing</v>
      </c>
      <c r="BA127" s="7" t="str">
        <f t="shared" ca="1" si="22"/>
        <v>Missing</v>
      </c>
      <c r="BB127" s="7" t="str">
        <f t="shared" si="23"/>
        <v>Missing</v>
      </c>
      <c r="BC127" s="7" t="str">
        <f t="shared" si="24"/>
        <v>OK</v>
      </c>
      <c r="BD127" s="7" t="str">
        <f t="shared" si="25"/>
        <v>Clear</v>
      </c>
      <c r="BE127" s="7" t="str">
        <f t="shared" ca="1" si="26"/>
        <v/>
      </c>
      <c r="BF127" s="7" t="str">
        <f t="shared" ca="1" si="27"/>
        <v/>
      </c>
    </row>
    <row r="128" spans="1:58" x14ac:dyDescent="0.2">
      <c r="A128" s="3" t="s">
        <v>641</v>
      </c>
      <c r="B128" s="3">
        <v>22</v>
      </c>
      <c r="C128" s="3" t="s">
        <v>41</v>
      </c>
      <c r="D128" s="3">
        <v>2614</v>
      </c>
      <c r="E128" s="3" t="s">
        <v>642</v>
      </c>
      <c r="F128" s="3" t="s">
        <v>643</v>
      </c>
      <c r="G128" s="3" t="s">
        <v>644</v>
      </c>
      <c r="H128" s="4" t="s">
        <v>186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 t="s">
        <v>187</v>
      </c>
      <c r="W128" s="5"/>
      <c r="X128" s="5"/>
      <c r="Y128" s="5"/>
      <c r="Z128" s="5" t="s">
        <v>101</v>
      </c>
      <c r="AA128" s="5" t="s">
        <v>101</v>
      </c>
      <c r="AB128" s="5"/>
      <c r="AC128" s="5"/>
      <c r="AD128" s="5"/>
      <c r="AE128" s="5"/>
      <c r="AF128" s="5" t="s">
        <v>101</v>
      </c>
      <c r="AG128" s="5" t="s">
        <v>101</v>
      </c>
      <c r="AH128" s="5" t="s">
        <v>101</v>
      </c>
      <c r="AI128" s="5" t="s">
        <v>101</v>
      </c>
      <c r="AJ128" s="5" t="s">
        <v>101</v>
      </c>
      <c r="AK128" s="5" t="s">
        <v>101</v>
      </c>
      <c r="AL128" s="5" t="s">
        <v>101</v>
      </c>
      <c r="AM128" s="5" t="s">
        <v>101</v>
      </c>
      <c r="AN128" s="5"/>
      <c r="AO128" s="5" t="s">
        <v>188</v>
      </c>
      <c r="AP128" s="5" t="s">
        <v>101</v>
      </c>
      <c r="AQ128" s="5"/>
      <c r="AR128" s="5"/>
      <c r="AS128" s="5"/>
      <c r="AT128" s="5" t="s">
        <v>101</v>
      </c>
      <c r="AU128" s="5"/>
      <c r="AV128" s="5" t="s">
        <v>101</v>
      </c>
      <c r="AW128" s="5"/>
      <c r="AX128" s="5"/>
      <c r="AY128" s="5"/>
      <c r="AZ128" s="6" t="str">
        <f t="shared" si="21"/>
        <v>Missing</v>
      </c>
      <c r="BA128" s="7" t="str">
        <f t="shared" ca="1" si="22"/>
        <v>Missing</v>
      </c>
      <c r="BB128" s="7" t="str">
        <f t="shared" si="23"/>
        <v>Missing</v>
      </c>
      <c r="BC128" s="7" t="str">
        <f t="shared" si="24"/>
        <v>OK</v>
      </c>
      <c r="BD128" s="7" t="str">
        <f t="shared" si="25"/>
        <v>Clear</v>
      </c>
      <c r="BE128" s="7" t="str">
        <f t="shared" ca="1" si="26"/>
        <v/>
      </c>
      <c r="BF128" s="7" t="str">
        <f t="shared" ca="1" si="27"/>
        <v/>
      </c>
    </row>
    <row r="129" spans="1:58" x14ac:dyDescent="0.2">
      <c r="A129" s="3" t="s">
        <v>645</v>
      </c>
      <c r="B129" s="3">
        <v>23</v>
      </c>
      <c r="C129" s="3" t="s">
        <v>451</v>
      </c>
      <c r="D129" s="3">
        <v>2903</v>
      </c>
      <c r="E129" s="3" t="s">
        <v>646</v>
      </c>
      <c r="F129" s="3" t="s">
        <v>647</v>
      </c>
      <c r="G129" s="3" t="s">
        <v>648</v>
      </c>
      <c r="H129" s="4" t="s">
        <v>186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 t="s">
        <v>187</v>
      </c>
      <c r="W129" s="5"/>
      <c r="X129" s="5"/>
      <c r="Y129" s="5"/>
      <c r="Z129" s="5" t="s">
        <v>101</v>
      </c>
      <c r="AA129" s="5" t="s">
        <v>101</v>
      </c>
      <c r="AB129" s="5"/>
      <c r="AC129" s="5"/>
      <c r="AD129" s="5"/>
      <c r="AE129" s="5"/>
      <c r="AF129" s="5" t="s">
        <v>101</v>
      </c>
      <c r="AG129" s="5" t="s">
        <v>101</v>
      </c>
      <c r="AH129" s="5" t="s">
        <v>101</v>
      </c>
      <c r="AI129" s="5" t="s">
        <v>101</v>
      </c>
      <c r="AJ129" s="5" t="s">
        <v>101</v>
      </c>
      <c r="AK129" s="5" t="s">
        <v>101</v>
      </c>
      <c r="AL129" s="5" t="s">
        <v>101</v>
      </c>
      <c r="AM129" s="5" t="s">
        <v>101</v>
      </c>
      <c r="AN129" s="5"/>
      <c r="AO129" s="5" t="s">
        <v>188</v>
      </c>
      <c r="AP129" s="5" t="s">
        <v>101</v>
      </c>
      <c r="AQ129" s="5"/>
      <c r="AR129" s="5"/>
      <c r="AS129" s="5"/>
      <c r="AT129" s="5" t="s">
        <v>101</v>
      </c>
      <c r="AU129" s="5"/>
      <c r="AV129" s="5" t="s">
        <v>101</v>
      </c>
      <c r="AW129" s="5"/>
      <c r="AX129" s="5"/>
      <c r="AY129" s="5"/>
      <c r="AZ129" s="6" t="str">
        <f t="shared" si="21"/>
        <v>Missing</v>
      </c>
      <c r="BA129" s="7" t="str">
        <f t="shared" ca="1" si="22"/>
        <v>Missing</v>
      </c>
      <c r="BB129" s="7" t="str">
        <f t="shared" si="23"/>
        <v>Missing</v>
      </c>
      <c r="BC129" s="7" t="str">
        <f t="shared" si="24"/>
        <v>OK</v>
      </c>
      <c r="BD129" s="7" t="str">
        <f t="shared" si="25"/>
        <v>Clear</v>
      </c>
      <c r="BE129" s="7" t="str">
        <f t="shared" ca="1" si="26"/>
        <v/>
      </c>
      <c r="BF129" s="7" t="str">
        <f t="shared" ca="1" si="27"/>
        <v/>
      </c>
    </row>
    <row r="130" spans="1:58" x14ac:dyDescent="0.2">
      <c r="A130" s="3" t="s">
        <v>649</v>
      </c>
      <c r="B130" s="3">
        <v>23</v>
      </c>
      <c r="C130" s="3" t="s">
        <v>451</v>
      </c>
      <c r="D130" s="3">
        <v>2905</v>
      </c>
      <c r="E130" s="3" t="s">
        <v>650</v>
      </c>
      <c r="F130" s="3" t="s">
        <v>651</v>
      </c>
      <c r="G130" s="3" t="s">
        <v>652</v>
      </c>
      <c r="H130" s="4" t="s">
        <v>186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 t="s">
        <v>187</v>
      </c>
      <c r="W130" s="5"/>
      <c r="X130" s="5"/>
      <c r="Y130" s="5"/>
      <c r="Z130" s="5" t="s">
        <v>101</v>
      </c>
      <c r="AA130" s="5" t="s">
        <v>101</v>
      </c>
      <c r="AB130" s="5"/>
      <c r="AC130" s="5"/>
      <c r="AD130" s="5"/>
      <c r="AE130" s="5"/>
      <c r="AF130" s="5" t="s">
        <v>101</v>
      </c>
      <c r="AG130" s="5" t="s">
        <v>101</v>
      </c>
      <c r="AH130" s="5" t="s">
        <v>101</v>
      </c>
      <c r="AI130" s="5" t="s">
        <v>101</v>
      </c>
      <c r="AJ130" s="5" t="s">
        <v>101</v>
      </c>
      <c r="AK130" s="5" t="s">
        <v>101</v>
      </c>
      <c r="AL130" s="5" t="s">
        <v>101</v>
      </c>
      <c r="AM130" s="5" t="s">
        <v>101</v>
      </c>
      <c r="AN130" s="5"/>
      <c r="AO130" s="5" t="s">
        <v>188</v>
      </c>
      <c r="AP130" s="5" t="s">
        <v>101</v>
      </c>
      <c r="AQ130" s="5"/>
      <c r="AR130" s="5"/>
      <c r="AS130" s="5"/>
      <c r="AT130" s="5" t="s">
        <v>101</v>
      </c>
      <c r="AU130" s="5"/>
      <c r="AV130" s="5" t="s">
        <v>101</v>
      </c>
      <c r="AW130" s="5"/>
      <c r="AX130" s="5"/>
      <c r="AY130" s="5"/>
      <c r="AZ130" s="6" t="str">
        <f t="shared" ref="AZ130:AZ145" si="28">IF(AND(I130&lt;&gt;"",P130&lt;&gt;"",R130&lt;&gt;""),"Complete",IF(COUNTA(I130:R130)=0,"Missing","Partial"))</f>
        <v>Missing</v>
      </c>
      <c r="BA130" s="7" t="str">
        <f t="shared" ref="BA130:BA145" ca="1" si="29">IF(OR(Z130&lt;&gt;"Yes",AA130&lt;&gt;"Yes",AE130=""),"Missing",IF(AE130&lt;TODAY(),"Expired",IF(AE130&lt;=TODAY()+30,"Renewal &lt;30d",IF(AND(AF130="Yes",AG130="Yes",AJ130="Yes"),"Verified","Review"))))</f>
        <v>Missing</v>
      </c>
      <c r="BB130" s="7" t="str">
        <f t="shared" ref="BB130:BB145" si="30">IF(AND(AJ130="Yes",AK130="Yes",AL130="Yes",OR(V130&lt;&gt;"Tenant",AM130="Yes")),"Complete",IF(COUNTIF(AJ130:AM130,"Yes")=0,"Missing","Partial"))</f>
        <v>Missing</v>
      </c>
      <c r="BC130" s="7" t="str">
        <f t="shared" ref="BC130:BC145" si="31">IF(AP130="Yes","Active Issue",IF(AN130="Replacement Risk","Replacement Risk",IF(AN130="Repair Needed","Repair Needed",IF(AN130="Monitor","Monitor","OK"))))</f>
        <v>OK</v>
      </c>
      <c r="BD130" s="7" t="str">
        <f t="shared" ref="BD130:BD145" si="32">IF(AT130="Yes","Open Case",IF(AV130="Yes","Board Review","Clear"))</f>
        <v>Clear</v>
      </c>
      <c r="BE130" s="7" t="str">
        <f t="shared" ref="BE130:BE161" ca="1" si="33">IF(OR(BB130="Missing",BB130="Expired",BD130="Active Issue",BD130="Replacement Risk",BE130="Open Case",BC130="Missing"),"Immediate Action",IF(OR(BB130="Renewal &lt;30d",BB130="Review",BC130="Partial",BD130="Monitor",BE130="Board Review",BA130="Partial"),"Follow Up","Complete"))</f>
        <v/>
      </c>
      <c r="BF130" s="7" t="str">
        <f t="shared" ref="BF130:BF161" ca="1" si="34">(BA130&lt;&gt;"Complete")*1+(OR(BB130="Missing",BB130="Expired"))*3+(BB130="Renewal &lt;30d")*2+(BC130&lt;&gt;"Complete")*2+(OR(BD130="Active Issue",BD130="Replacement Risk"))*3+(BE130&lt;&gt;"Clear")*2+(H130="Review")*1</f>
        <v/>
      </c>
    </row>
    <row r="131" spans="1:58" x14ac:dyDescent="0.2">
      <c r="A131" s="3" t="s">
        <v>653</v>
      </c>
      <c r="B131" s="3">
        <v>23</v>
      </c>
      <c r="C131" s="3" t="s">
        <v>451</v>
      </c>
      <c r="D131" s="3">
        <v>2907</v>
      </c>
      <c r="E131" s="3" t="s">
        <v>654</v>
      </c>
      <c r="F131" s="3" t="s">
        <v>655</v>
      </c>
      <c r="G131" s="3" t="s">
        <v>656</v>
      </c>
      <c r="H131" s="4" t="s">
        <v>186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 t="s">
        <v>187</v>
      </c>
      <c r="W131" s="5"/>
      <c r="X131" s="5"/>
      <c r="Y131" s="5"/>
      <c r="Z131" s="5" t="s">
        <v>101</v>
      </c>
      <c r="AA131" s="5" t="s">
        <v>101</v>
      </c>
      <c r="AB131" s="5"/>
      <c r="AC131" s="5"/>
      <c r="AD131" s="5"/>
      <c r="AE131" s="5"/>
      <c r="AF131" s="5" t="s">
        <v>101</v>
      </c>
      <c r="AG131" s="5" t="s">
        <v>101</v>
      </c>
      <c r="AH131" s="5" t="s">
        <v>101</v>
      </c>
      <c r="AI131" s="5" t="s">
        <v>101</v>
      </c>
      <c r="AJ131" s="5" t="s">
        <v>101</v>
      </c>
      <c r="AK131" s="5" t="s">
        <v>101</v>
      </c>
      <c r="AL131" s="5" t="s">
        <v>101</v>
      </c>
      <c r="AM131" s="5" t="s">
        <v>101</v>
      </c>
      <c r="AN131" s="5"/>
      <c r="AO131" s="5" t="s">
        <v>188</v>
      </c>
      <c r="AP131" s="5" t="s">
        <v>101</v>
      </c>
      <c r="AQ131" s="5"/>
      <c r="AR131" s="5"/>
      <c r="AS131" s="5"/>
      <c r="AT131" s="5" t="s">
        <v>101</v>
      </c>
      <c r="AU131" s="5"/>
      <c r="AV131" s="5" t="s">
        <v>101</v>
      </c>
      <c r="AW131" s="5"/>
      <c r="AX131" s="5"/>
      <c r="AY131" s="5"/>
      <c r="AZ131" s="6" t="str">
        <f t="shared" si="28"/>
        <v>Missing</v>
      </c>
      <c r="BA131" s="7" t="str">
        <f t="shared" ca="1" si="29"/>
        <v>Missing</v>
      </c>
      <c r="BB131" s="7" t="str">
        <f t="shared" si="30"/>
        <v>Missing</v>
      </c>
      <c r="BC131" s="7" t="str">
        <f t="shared" si="31"/>
        <v>OK</v>
      </c>
      <c r="BD131" s="7" t="str">
        <f t="shared" si="32"/>
        <v>Clear</v>
      </c>
      <c r="BE131" s="7" t="str">
        <f t="shared" ca="1" si="33"/>
        <v/>
      </c>
      <c r="BF131" s="7" t="str">
        <f t="shared" ca="1" si="34"/>
        <v/>
      </c>
    </row>
    <row r="132" spans="1:58" x14ac:dyDescent="0.2">
      <c r="A132" s="3" t="s">
        <v>657</v>
      </c>
      <c r="B132" s="3">
        <v>23</v>
      </c>
      <c r="C132" s="3" t="s">
        <v>451</v>
      </c>
      <c r="D132" s="3">
        <v>2909</v>
      </c>
      <c r="E132" s="3" t="s">
        <v>658</v>
      </c>
      <c r="F132" s="3" t="s">
        <v>659</v>
      </c>
      <c r="G132" s="3" t="s">
        <v>660</v>
      </c>
      <c r="H132" s="4" t="s">
        <v>186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 t="s">
        <v>187</v>
      </c>
      <c r="W132" s="5"/>
      <c r="X132" s="5"/>
      <c r="Y132" s="5"/>
      <c r="Z132" s="5" t="s">
        <v>101</v>
      </c>
      <c r="AA132" s="5" t="s">
        <v>101</v>
      </c>
      <c r="AB132" s="5"/>
      <c r="AC132" s="5"/>
      <c r="AD132" s="5"/>
      <c r="AE132" s="5"/>
      <c r="AF132" s="5" t="s">
        <v>101</v>
      </c>
      <c r="AG132" s="5" t="s">
        <v>101</v>
      </c>
      <c r="AH132" s="5" t="s">
        <v>101</v>
      </c>
      <c r="AI132" s="5" t="s">
        <v>101</v>
      </c>
      <c r="AJ132" s="5" t="s">
        <v>101</v>
      </c>
      <c r="AK132" s="5" t="s">
        <v>101</v>
      </c>
      <c r="AL132" s="5" t="s">
        <v>101</v>
      </c>
      <c r="AM132" s="5" t="s">
        <v>101</v>
      </c>
      <c r="AN132" s="5"/>
      <c r="AO132" s="5" t="s">
        <v>188</v>
      </c>
      <c r="AP132" s="5" t="s">
        <v>101</v>
      </c>
      <c r="AQ132" s="5"/>
      <c r="AR132" s="5"/>
      <c r="AS132" s="5"/>
      <c r="AT132" s="5" t="s">
        <v>101</v>
      </c>
      <c r="AU132" s="5"/>
      <c r="AV132" s="5" t="s">
        <v>101</v>
      </c>
      <c r="AW132" s="5"/>
      <c r="AX132" s="5"/>
      <c r="AY132" s="5"/>
      <c r="AZ132" s="6" t="str">
        <f t="shared" si="28"/>
        <v>Missing</v>
      </c>
      <c r="BA132" s="7" t="str">
        <f t="shared" ca="1" si="29"/>
        <v>Missing</v>
      </c>
      <c r="BB132" s="7" t="str">
        <f t="shared" si="30"/>
        <v>Missing</v>
      </c>
      <c r="BC132" s="7" t="str">
        <f t="shared" si="31"/>
        <v>OK</v>
      </c>
      <c r="BD132" s="7" t="str">
        <f t="shared" si="32"/>
        <v>Clear</v>
      </c>
      <c r="BE132" s="7" t="str">
        <f t="shared" ca="1" si="33"/>
        <v/>
      </c>
      <c r="BF132" s="7" t="str">
        <f t="shared" ca="1" si="34"/>
        <v/>
      </c>
    </row>
    <row r="133" spans="1:58" x14ac:dyDescent="0.2">
      <c r="A133" s="3" t="s">
        <v>661</v>
      </c>
      <c r="B133" s="3">
        <v>23</v>
      </c>
      <c r="C133" s="3" t="s">
        <v>451</v>
      </c>
      <c r="D133" s="3">
        <v>2911</v>
      </c>
      <c r="E133" s="3" t="s">
        <v>662</v>
      </c>
      <c r="F133" s="3" t="s">
        <v>663</v>
      </c>
      <c r="G133" s="3" t="s">
        <v>664</v>
      </c>
      <c r="H133" s="4" t="s">
        <v>186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 t="s">
        <v>187</v>
      </c>
      <c r="W133" s="5"/>
      <c r="X133" s="5"/>
      <c r="Y133" s="5"/>
      <c r="Z133" s="5" t="s">
        <v>101</v>
      </c>
      <c r="AA133" s="5" t="s">
        <v>101</v>
      </c>
      <c r="AB133" s="5"/>
      <c r="AC133" s="5"/>
      <c r="AD133" s="5"/>
      <c r="AE133" s="5"/>
      <c r="AF133" s="5" t="s">
        <v>101</v>
      </c>
      <c r="AG133" s="5" t="s">
        <v>101</v>
      </c>
      <c r="AH133" s="5" t="s">
        <v>101</v>
      </c>
      <c r="AI133" s="5" t="s">
        <v>101</v>
      </c>
      <c r="AJ133" s="5" t="s">
        <v>101</v>
      </c>
      <c r="AK133" s="5" t="s">
        <v>101</v>
      </c>
      <c r="AL133" s="5" t="s">
        <v>101</v>
      </c>
      <c r="AM133" s="5" t="s">
        <v>101</v>
      </c>
      <c r="AN133" s="5"/>
      <c r="AO133" s="5" t="s">
        <v>188</v>
      </c>
      <c r="AP133" s="5" t="s">
        <v>101</v>
      </c>
      <c r="AQ133" s="5"/>
      <c r="AR133" s="5"/>
      <c r="AS133" s="5"/>
      <c r="AT133" s="5" t="s">
        <v>101</v>
      </c>
      <c r="AU133" s="5"/>
      <c r="AV133" s="5" t="s">
        <v>101</v>
      </c>
      <c r="AW133" s="5"/>
      <c r="AX133" s="5"/>
      <c r="AY133" s="5"/>
      <c r="AZ133" s="6" t="str">
        <f t="shared" si="28"/>
        <v>Missing</v>
      </c>
      <c r="BA133" s="7" t="str">
        <f t="shared" ca="1" si="29"/>
        <v>Missing</v>
      </c>
      <c r="BB133" s="7" t="str">
        <f t="shared" si="30"/>
        <v>Missing</v>
      </c>
      <c r="BC133" s="7" t="str">
        <f t="shared" si="31"/>
        <v>OK</v>
      </c>
      <c r="BD133" s="7" t="str">
        <f t="shared" si="32"/>
        <v>Clear</v>
      </c>
      <c r="BE133" s="7" t="str">
        <f t="shared" ca="1" si="33"/>
        <v/>
      </c>
      <c r="BF133" s="7" t="str">
        <f t="shared" ca="1" si="34"/>
        <v/>
      </c>
    </row>
    <row r="134" spans="1:58" x14ac:dyDescent="0.2">
      <c r="A134" s="3" t="s">
        <v>665</v>
      </c>
      <c r="B134" s="3">
        <v>24</v>
      </c>
      <c r="C134" s="3" t="s">
        <v>451</v>
      </c>
      <c r="D134" s="3">
        <v>2913</v>
      </c>
      <c r="E134" s="3" t="s">
        <v>666</v>
      </c>
      <c r="F134" s="3" t="s">
        <v>667</v>
      </c>
      <c r="G134" s="3" t="s">
        <v>668</v>
      </c>
      <c r="H134" s="4" t="s">
        <v>186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 t="s">
        <v>187</v>
      </c>
      <c r="W134" s="5"/>
      <c r="X134" s="5"/>
      <c r="Y134" s="5"/>
      <c r="Z134" s="5" t="s">
        <v>101</v>
      </c>
      <c r="AA134" s="5" t="s">
        <v>101</v>
      </c>
      <c r="AB134" s="5"/>
      <c r="AC134" s="5"/>
      <c r="AD134" s="5"/>
      <c r="AE134" s="5"/>
      <c r="AF134" s="5" t="s">
        <v>101</v>
      </c>
      <c r="AG134" s="5" t="s">
        <v>101</v>
      </c>
      <c r="AH134" s="5" t="s">
        <v>101</v>
      </c>
      <c r="AI134" s="5" t="s">
        <v>101</v>
      </c>
      <c r="AJ134" s="5" t="s">
        <v>101</v>
      </c>
      <c r="AK134" s="5" t="s">
        <v>101</v>
      </c>
      <c r="AL134" s="5" t="s">
        <v>101</v>
      </c>
      <c r="AM134" s="5" t="s">
        <v>101</v>
      </c>
      <c r="AN134" s="5"/>
      <c r="AO134" s="5" t="s">
        <v>188</v>
      </c>
      <c r="AP134" s="5" t="s">
        <v>101</v>
      </c>
      <c r="AQ134" s="5"/>
      <c r="AR134" s="5"/>
      <c r="AS134" s="5"/>
      <c r="AT134" s="5" t="s">
        <v>101</v>
      </c>
      <c r="AU134" s="5"/>
      <c r="AV134" s="5" t="s">
        <v>101</v>
      </c>
      <c r="AW134" s="5"/>
      <c r="AX134" s="5"/>
      <c r="AY134" s="5"/>
      <c r="AZ134" s="6" t="str">
        <f t="shared" si="28"/>
        <v>Missing</v>
      </c>
      <c r="BA134" s="7" t="str">
        <f t="shared" ca="1" si="29"/>
        <v>Missing</v>
      </c>
      <c r="BB134" s="7" t="str">
        <f t="shared" si="30"/>
        <v>Missing</v>
      </c>
      <c r="BC134" s="7" t="str">
        <f t="shared" si="31"/>
        <v>OK</v>
      </c>
      <c r="BD134" s="7" t="str">
        <f t="shared" si="32"/>
        <v>Clear</v>
      </c>
      <c r="BE134" s="7" t="str">
        <f t="shared" ca="1" si="33"/>
        <v/>
      </c>
      <c r="BF134" s="7" t="str">
        <f t="shared" ca="1" si="34"/>
        <v/>
      </c>
    </row>
    <row r="135" spans="1:58" x14ac:dyDescent="0.2">
      <c r="A135" s="3" t="s">
        <v>669</v>
      </c>
      <c r="B135" s="3">
        <v>24</v>
      </c>
      <c r="C135" s="3" t="s">
        <v>451</v>
      </c>
      <c r="D135" s="3">
        <v>2915</v>
      </c>
      <c r="E135" s="3" t="s">
        <v>670</v>
      </c>
      <c r="F135" s="3" t="s">
        <v>671</v>
      </c>
      <c r="G135" s="3" t="s">
        <v>672</v>
      </c>
      <c r="H135" s="4" t="s">
        <v>186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 t="s">
        <v>187</v>
      </c>
      <c r="W135" s="5"/>
      <c r="X135" s="5"/>
      <c r="Y135" s="5"/>
      <c r="Z135" s="5" t="s">
        <v>101</v>
      </c>
      <c r="AA135" s="5" t="s">
        <v>101</v>
      </c>
      <c r="AB135" s="5"/>
      <c r="AC135" s="5"/>
      <c r="AD135" s="5"/>
      <c r="AE135" s="5"/>
      <c r="AF135" s="5" t="s">
        <v>101</v>
      </c>
      <c r="AG135" s="5" t="s">
        <v>101</v>
      </c>
      <c r="AH135" s="5" t="s">
        <v>101</v>
      </c>
      <c r="AI135" s="5" t="s">
        <v>101</v>
      </c>
      <c r="AJ135" s="5" t="s">
        <v>101</v>
      </c>
      <c r="AK135" s="5" t="s">
        <v>101</v>
      </c>
      <c r="AL135" s="5" t="s">
        <v>101</v>
      </c>
      <c r="AM135" s="5" t="s">
        <v>101</v>
      </c>
      <c r="AN135" s="5"/>
      <c r="AO135" s="5" t="s">
        <v>188</v>
      </c>
      <c r="AP135" s="5" t="s">
        <v>101</v>
      </c>
      <c r="AQ135" s="5"/>
      <c r="AR135" s="5"/>
      <c r="AS135" s="5"/>
      <c r="AT135" s="5" t="s">
        <v>101</v>
      </c>
      <c r="AU135" s="5"/>
      <c r="AV135" s="5" t="s">
        <v>101</v>
      </c>
      <c r="AW135" s="5"/>
      <c r="AX135" s="5"/>
      <c r="AY135" s="5"/>
      <c r="AZ135" s="6" t="str">
        <f t="shared" si="28"/>
        <v>Missing</v>
      </c>
      <c r="BA135" s="7" t="str">
        <f t="shared" ca="1" si="29"/>
        <v>Missing</v>
      </c>
      <c r="BB135" s="7" t="str">
        <f t="shared" si="30"/>
        <v>Missing</v>
      </c>
      <c r="BC135" s="7" t="str">
        <f t="shared" si="31"/>
        <v>OK</v>
      </c>
      <c r="BD135" s="7" t="str">
        <f t="shared" si="32"/>
        <v>Clear</v>
      </c>
      <c r="BE135" s="7" t="str">
        <f t="shared" ca="1" si="33"/>
        <v/>
      </c>
      <c r="BF135" s="7" t="str">
        <f t="shared" ca="1" si="34"/>
        <v/>
      </c>
    </row>
    <row r="136" spans="1:58" x14ac:dyDescent="0.2">
      <c r="A136" s="3" t="s">
        <v>673</v>
      </c>
      <c r="B136" s="3">
        <v>24</v>
      </c>
      <c r="C136" s="3" t="s">
        <v>451</v>
      </c>
      <c r="D136" s="3">
        <v>2917</v>
      </c>
      <c r="E136" s="3" t="s">
        <v>674</v>
      </c>
      <c r="F136" s="3" t="s">
        <v>675</v>
      </c>
      <c r="G136" s="3" t="s">
        <v>676</v>
      </c>
      <c r="H136" s="4" t="s">
        <v>186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 t="s">
        <v>187</v>
      </c>
      <c r="W136" s="5"/>
      <c r="X136" s="5"/>
      <c r="Y136" s="5"/>
      <c r="Z136" s="5" t="s">
        <v>101</v>
      </c>
      <c r="AA136" s="5" t="s">
        <v>101</v>
      </c>
      <c r="AB136" s="5"/>
      <c r="AC136" s="5"/>
      <c r="AD136" s="5"/>
      <c r="AE136" s="5"/>
      <c r="AF136" s="5" t="s">
        <v>101</v>
      </c>
      <c r="AG136" s="5" t="s">
        <v>101</v>
      </c>
      <c r="AH136" s="5" t="s">
        <v>101</v>
      </c>
      <c r="AI136" s="5" t="s">
        <v>101</v>
      </c>
      <c r="AJ136" s="5" t="s">
        <v>101</v>
      </c>
      <c r="AK136" s="5" t="s">
        <v>101</v>
      </c>
      <c r="AL136" s="5" t="s">
        <v>101</v>
      </c>
      <c r="AM136" s="5" t="s">
        <v>101</v>
      </c>
      <c r="AN136" s="5"/>
      <c r="AO136" s="5" t="s">
        <v>188</v>
      </c>
      <c r="AP136" s="5" t="s">
        <v>101</v>
      </c>
      <c r="AQ136" s="5"/>
      <c r="AR136" s="5"/>
      <c r="AS136" s="5"/>
      <c r="AT136" s="5" t="s">
        <v>101</v>
      </c>
      <c r="AU136" s="5"/>
      <c r="AV136" s="5" t="s">
        <v>101</v>
      </c>
      <c r="AW136" s="5"/>
      <c r="AX136" s="5"/>
      <c r="AY136" s="5"/>
      <c r="AZ136" s="6" t="str">
        <f t="shared" si="28"/>
        <v>Missing</v>
      </c>
      <c r="BA136" s="7" t="str">
        <f t="shared" ca="1" si="29"/>
        <v>Missing</v>
      </c>
      <c r="BB136" s="7" t="str">
        <f t="shared" si="30"/>
        <v>Missing</v>
      </c>
      <c r="BC136" s="7" t="str">
        <f t="shared" si="31"/>
        <v>OK</v>
      </c>
      <c r="BD136" s="7" t="str">
        <f t="shared" si="32"/>
        <v>Clear</v>
      </c>
      <c r="BE136" s="7" t="str">
        <f t="shared" ca="1" si="33"/>
        <v/>
      </c>
      <c r="BF136" s="7" t="str">
        <f t="shared" ca="1" si="34"/>
        <v/>
      </c>
    </row>
    <row r="137" spans="1:58" x14ac:dyDescent="0.2">
      <c r="A137" s="3" t="s">
        <v>677</v>
      </c>
      <c r="B137" s="3">
        <v>24</v>
      </c>
      <c r="C137" s="3" t="s">
        <v>451</v>
      </c>
      <c r="D137" s="3">
        <v>2919</v>
      </c>
      <c r="E137" s="3" t="s">
        <v>678</v>
      </c>
      <c r="F137" s="3" t="s">
        <v>679</v>
      </c>
      <c r="G137" s="3" t="s">
        <v>680</v>
      </c>
      <c r="H137" s="4" t="s">
        <v>186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 t="s">
        <v>187</v>
      </c>
      <c r="W137" s="5"/>
      <c r="X137" s="5"/>
      <c r="Y137" s="5"/>
      <c r="Z137" s="5" t="s">
        <v>101</v>
      </c>
      <c r="AA137" s="5" t="s">
        <v>101</v>
      </c>
      <c r="AB137" s="5"/>
      <c r="AC137" s="5"/>
      <c r="AD137" s="5"/>
      <c r="AE137" s="5"/>
      <c r="AF137" s="5" t="s">
        <v>101</v>
      </c>
      <c r="AG137" s="5" t="s">
        <v>101</v>
      </c>
      <c r="AH137" s="5" t="s">
        <v>101</v>
      </c>
      <c r="AI137" s="5" t="s">
        <v>101</v>
      </c>
      <c r="AJ137" s="5" t="s">
        <v>101</v>
      </c>
      <c r="AK137" s="5" t="s">
        <v>101</v>
      </c>
      <c r="AL137" s="5" t="s">
        <v>101</v>
      </c>
      <c r="AM137" s="5" t="s">
        <v>101</v>
      </c>
      <c r="AN137" s="5"/>
      <c r="AO137" s="5" t="s">
        <v>188</v>
      </c>
      <c r="AP137" s="5" t="s">
        <v>101</v>
      </c>
      <c r="AQ137" s="5"/>
      <c r="AR137" s="5"/>
      <c r="AS137" s="5"/>
      <c r="AT137" s="5" t="s">
        <v>101</v>
      </c>
      <c r="AU137" s="5"/>
      <c r="AV137" s="5" t="s">
        <v>101</v>
      </c>
      <c r="AW137" s="5"/>
      <c r="AX137" s="5"/>
      <c r="AY137" s="5"/>
      <c r="AZ137" s="6" t="str">
        <f t="shared" si="28"/>
        <v>Missing</v>
      </c>
      <c r="BA137" s="7" t="str">
        <f t="shared" ca="1" si="29"/>
        <v>Missing</v>
      </c>
      <c r="BB137" s="7" t="str">
        <f t="shared" si="30"/>
        <v>Missing</v>
      </c>
      <c r="BC137" s="7" t="str">
        <f t="shared" si="31"/>
        <v>OK</v>
      </c>
      <c r="BD137" s="7" t="str">
        <f t="shared" si="32"/>
        <v>Clear</v>
      </c>
      <c r="BE137" s="7" t="str">
        <f t="shared" ca="1" si="33"/>
        <v/>
      </c>
      <c r="BF137" s="7" t="str">
        <f t="shared" ca="1" si="34"/>
        <v/>
      </c>
    </row>
    <row r="138" spans="1:58" x14ac:dyDescent="0.2">
      <c r="A138" s="3" t="s">
        <v>681</v>
      </c>
      <c r="B138" s="3">
        <v>24</v>
      </c>
      <c r="C138" s="3" t="s">
        <v>451</v>
      </c>
      <c r="D138" s="3">
        <v>2921</v>
      </c>
      <c r="E138" s="3" t="s">
        <v>682</v>
      </c>
      <c r="F138" s="3" t="s">
        <v>683</v>
      </c>
      <c r="G138" s="3" t="s">
        <v>684</v>
      </c>
      <c r="H138" s="4" t="s">
        <v>186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 t="s">
        <v>187</v>
      </c>
      <c r="W138" s="5"/>
      <c r="X138" s="5"/>
      <c r="Y138" s="5"/>
      <c r="Z138" s="5" t="s">
        <v>101</v>
      </c>
      <c r="AA138" s="5" t="s">
        <v>101</v>
      </c>
      <c r="AB138" s="5"/>
      <c r="AC138" s="5"/>
      <c r="AD138" s="5"/>
      <c r="AE138" s="5"/>
      <c r="AF138" s="5" t="s">
        <v>101</v>
      </c>
      <c r="AG138" s="5" t="s">
        <v>101</v>
      </c>
      <c r="AH138" s="5" t="s">
        <v>101</v>
      </c>
      <c r="AI138" s="5" t="s">
        <v>101</v>
      </c>
      <c r="AJ138" s="5" t="s">
        <v>101</v>
      </c>
      <c r="AK138" s="5" t="s">
        <v>101</v>
      </c>
      <c r="AL138" s="5" t="s">
        <v>101</v>
      </c>
      <c r="AM138" s="5" t="s">
        <v>101</v>
      </c>
      <c r="AN138" s="5"/>
      <c r="AO138" s="5" t="s">
        <v>188</v>
      </c>
      <c r="AP138" s="5" t="s">
        <v>101</v>
      </c>
      <c r="AQ138" s="5"/>
      <c r="AR138" s="5"/>
      <c r="AS138" s="5"/>
      <c r="AT138" s="5" t="s">
        <v>101</v>
      </c>
      <c r="AU138" s="5"/>
      <c r="AV138" s="5" t="s">
        <v>101</v>
      </c>
      <c r="AW138" s="5"/>
      <c r="AX138" s="5"/>
      <c r="AY138" s="5"/>
      <c r="AZ138" s="6" t="str">
        <f t="shared" si="28"/>
        <v>Missing</v>
      </c>
      <c r="BA138" s="7" t="str">
        <f t="shared" ca="1" si="29"/>
        <v>Missing</v>
      </c>
      <c r="BB138" s="7" t="str">
        <f t="shared" si="30"/>
        <v>Missing</v>
      </c>
      <c r="BC138" s="7" t="str">
        <f t="shared" si="31"/>
        <v>OK</v>
      </c>
      <c r="BD138" s="7" t="str">
        <f t="shared" si="32"/>
        <v>Clear</v>
      </c>
      <c r="BE138" s="7" t="str">
        <f t="shared" ca="1" si="33"/>
        <v/>
      </c>
      <c r="BF138" s="7" t="str">
        <f t="shared" ca="1" si="34"/>
        <v/>
      </c>
    </row>
    <row r="139" spans="1:58" x14ac:dyDescent="0.2">
      <c r="A139" s="3" t="s">
        <v>685</v>
      </c>
      <c r="B139" s="3">
        <v>24</v>
      </c>
      <c r="C139" s="3" t="s">
        <v>451</v>
      </c>
      <c r="D139" s="3">
        <v>2923</v>
      </c>
      <c r="E139" s="3" t="s">
        <v>686</v>
      </c>
      <c r="F139" s="3" t="s">
        <v>687</v>
      </c>
      <c r="G139" s="3" t="s">
        <v>688</v>
      </c>
      <c r="H139" s="4" t="s">
        <v>186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 t="s">
        <v>187</v>
      </c>
      <c r="W139" s="5"/>
      <c r="X139" s="5"/>
      <c r="Y139" s="5"/>
      <c r="Z139" s="5" t="s">
        <v>101</v>
      </c>
      <c r="AA139" s="5" t="s">
        <v>101</v>
      </c>
      <c r="AB139" s="5"/>
      <c r="AC139" s="5"/>
      <c r="AD139" s="5"/>
      <c r="AE139" s="5"/>
      <c r="AF139" s="5" t="s">
        <v>101</v>
      </c>
      <c r="AG139" s="5" t="s">
        <v>101</v>
      </c>
      <c r="AH139" s="5" t="s">
        <v>101</v>
      </c>
      <c r="AI139" s="5" t="s">
        <v>101</v>
      </c>
      <c r="AJ139" s="5" t="s">
        <v>101</v>
      </c>
      <c r="AK139" s="5" t="s">
        <v>101</v>
      </c>
      <c r="AL139" s="5" t="s">
        <v>101</v>
      </c>
      <c r="AM139" s="5" t="s">
        <v>101</v>
      </c>
      <c r="AN139" s="5"/>
      <c r="AO139" s="5" t="s">
        <v>188</v>
      </c>
      <c r="AP139" s="5" t="s">
        <v>101</v>
      </c>
      <c r="AQ139" s="5"/>
      <c r="AR139" s="5"/>
      <c r="AS139" s="5"/>
      <c r="AT139" s="5" t="s">
        <v>101</v>
      </c>
      <c r="AU139" s="5"/>
      <c r="AV139" s="5" t="s">
        <v>101</v>
      </c>
      <c r="AW139" s="5"/>
      <c r="AX139" s="5"/>
      <c r="AY139" s="5"/>
      <c r="AZ139" s="6" t="str">
        <f t="shared" si="28"/>
        <v>Missing</v>
      </c>
      <c r="BA139" s="7" t="str">
        <f t="shared" ca="1" si="29"/>
        <v>Missing</v>
      </c>
      <c r="BB139" s="7" t="str">
        <f t="shared" si="30"/>
        <v>Missing</v>
      </c>
      <c r="BC139" s="7" t="str">
        <f t="shared" si="31"/>
        <v>OK</v>
      </c>
      <c r="BD139" s="7" t="str">
        <f t="shared" si="32"/>
        <v>Clear</v>
      </c>
      <c r="BE139" s="7" t="str">
        <f t="shared" ca="1" si="33"/>
        <v/>
      </c>
      <c r="BF139" s="7" t="str">
        <f t="shared" ca="1" si="34"/>
        <v/>
      </c>
    </row>
    <row r="140" spans="1:58" x14ac:dyDescent="0.2">
      <c r="A140" s="3" t="s">
        <v>689</v>
      </c>
      <c r="B140" s="3">
        <v>25</v>
      </c>
      <c r="C140" s="3" t="s">
        <v>451</v>
      </c>
      <c r="D140" s="3">
        <v>2910</v>
      </c>
      <c r="E140" s="3" t="s">
        <v>488</v>
      </c>
      <c r="F140" s="3" t="s">
        <v>690</v>
      </c>
      <c r="G140" s="3" t="s">
        <v>490</v>
      </c>
      <c r="H140" s="4" t="s">
        <v>186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 t="s">
        <v>187</v>
      </c>
      <c r="W140" s="5"/>
      <c r="X140" s="5"/>
      <c r="Y140" s="5"/>
      <c r="Z140" s="5" t="s">
        <v>101</v>
      </c>
      <c r="AA140" s="5" t="s">
        <v>101</v>
      </c>
      <c r="AB140" s="5"/>
      <c r="AC140" s="5"/>
      <c r="AD140" s="5"/>
      <c r="AE140" s="5"/>
      <c r="AF140" s="5" t="s">
        <v>101</v>
      </c>
      <c r="AG140" s="5" t="s">
        <v>101</v>
      </c>
      <c r="AH140" s="5" t="s">
        <v>101</v>
      </c>
      <c r="AI140" s="5" t="s">
        <v>101</v>
      </c>
      <c r="AJ140" s="5" t="s">
        <v>101</v>
      </c>
      <c r="AK140" s="5" t="s">
        <v>101</v>
      </c>
      <c r="AL140" s="5" t="s">
        <v>101</v>
      </c>
      <c r="AM140" s="5" t="s">
        <v>101</v>
      </c>
      <c r="AN140" s="5"/>
      <c r="AO140" s="5" t="s">
        <v>188</v>
      </c>
      <c r="AP140" s="5" t="s">
        <v>101</v>
      </c>
      <c r="AQ140" s="5"/>
      <c r="AR140" s="5"/>
      <c r="AS140" s="5"/>
      <c r="AT140" s="5" t="s">
        <v>101</v>
      </c>
      <c r="AU140" s="5"/>
      <c r="AV140" s="5" t="s">
        <v>101</v>
      </c>
      <c r="AW140" s="5"/>
      <c r="AX140" s="5"/>
      <c r="AY140" s="5"/>
      <c r="AZ140" s="6" t="str">
        <f t="shared" si="28"/>
        <v>Missing</v>
      </c>
      <c r="BA140" s="7" t="str">
        <f t="shared" ca="1" si="29"/>
        <v>Missing</v>
      </c>
      <c r="BB140" s="7" t="str">
        <f t="shared" si="30"/>
        <v>Missing</v>
      </c>
      <c r="BC140" s="7" t="str">
        <f t="shared" si="31"/>
        <v>OK</v>
      </c>
      <c r="BD140" s="7" t="str">
        <f t="shared" si="32"/>
        <v>Clear</v>
      </c>
      <c r="BE140" s="7" t="str">
        <f t="shared" ca="1" si="33"/>
        <v/>
      </c>
      <c r="BF140" s="7" t="str">
        <f t="shared" ca="1" si="34"/>
        <v/>
      </c>
    </row>
    <row r="141" spans="1:58" x14ac:dyDescent="0.2">
      <c r="A141" s="3" t="s">
        <v>691</v>
      </c>
      <c r="B141" s="3">
        <v>25</v>
      </c>
      <c r="C141" s="3" t="s">
        <v>451</v>
      </c>
      <c r="D141" s="3">
        <v>2912</v>
      </c>
      <c r="E141" s="3" t="s">
        <v>452</v>
      </c>
      <c r="F141" s="3" t="s">
        <v>692</v>
      </c>
      <c r="G141" s="3" t="s">
        <v>454</v>
      </c>
      <c r="H141" s="4" t="s">
        <v>186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 t="s">
        <v>187</v>
      </c>
      <c r="W141" s="5"/>
      <c r="X141" s="5"/>
      <c r="Y141" s="5"/>
      <c r="Z141" s="5" t="s">
        <v>101</v>
      </c>
      <c r="AA141" s="5" t="s">
        <v>101</v>
      </c>
      <c r="AB141" s="5"/>
      <c r="AC141" s="5"/>
      <c r="AD141" s="5"/>
      <c r="AE141" s="5"/>
      <c r="AF141" s="5" t="s">
        <v>101</v>
      </c>
      <c r="AG141" s="5" t="s">
        <v>101</v>
      </c>
      <c r="AH141" s="5" t="s">
        <v>101</v>
      </c>
      <c r="AI141" s="5" t="s">
        <v>101</v>
      </c>
      <c r="AJ141" s="5" t="s">
        <v>101</v>
      </c>
      <c r="AK141" s="5" t="s">
        <v>101</v>
      </c>
      <c r="AL141" s="5" t="s">
        <v>101</v>
      </c>
      <c r="AM141" s="5" t="s">
        <v>101</v>
      </c>
      <c r="AN141" s="5"/>
      <c r="AO141" s="5" t="s">
        <v>188</v>
      </c>
      <c r="AP141" s="5" t="s">
        <v>101</v>
      </c>
      <c r="AQ141" s="5"/>
      <c r="AR141" s="5"/>
      <c r="AS141" s="5"/>
      <c r="AT141" s="5" t="s">
        <v>101</v>
      </c>
      <c r="AU141" s="5"/>
      <c r="AV141" s="5" t="s">
        <v>101</v>
      </c>
      <c r="AW141" s="5"/>
      <c r="AX141" s="5"/>
      <c r="AY141" s="5"/>
      <c r="AZ141" s="6" t="str">
        <f t="shared" si="28"/>
        <v>Missing</v>
      </c>
      <c r="BA141" s="7" t="str">
        <f t="shared" ca="1" si="29"/>
        <v>Missing</v>
      </c>
      <c r="BB141" s="7" t="str">
        <f t="shared" si="30"/>
        <v>Missing</v>
      </c>
      <c r="BC141" s="7" t="str">
        <f t="shared" si="31"/>
        <v>OK</v>
      </c>
      <c r="BD141" s="7" t="str">
        <f t="shared" si="32"/>
        <v>Clear</v>
      </c>
      <c r="BE141" s="7" t="str">
        <f t="shared" ca="1" si="33"/>
        <v/>
      </c>
      <c r="BF141" s="7" t="str">
        <f t="shared" ca="1" si="34"/>
        <v/>
      </c>
    </row>
    <row r="142" spans="1:58" x14ac:dyDescent="0.2">
      <c r="A142" s="3" t="s">
        <v>693</v>
      </c>
      <c r="B142" s="3">
        <v>25</v>
      </c>
      <c r="C142" s="3" t="s">
        <v>451</v>
      </c>
      <c r="D142" s="3">
        <v>2914</v>
      </c>
      <c r="E142" s="3" t="s">
        <v>456</v>
      </c>
      <c r="F142" s="3" t="s">
        <v>694</v>
      </c>
      <c r="G142" s="3" t="s">
        <v>458</v>
      </c>
      <c r="H142" s="4" t="s">
        <v>186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 t="s">
        <v>187</v>
      </c>
      <c r="W142" s="5"/>
      <c r="X142" s="5"/>
      <c r="Y142" s="5"/>
      <c r="Z142" s="5" t="s">
        <v>101</v>
      </c>
      <c r="AA142" s="5" t="s">
        <v>101</v>
      </c>
      <c r="AB142" s="5"/>
      <c r="AC142" s="5"/>
      <c r="AD142" s="5"/>
      <c r="AE142" s="5"/>
      <c r="AF142" s="5" t="s">
        <v>101</v>
      </c>
      <c r="AG142" s="5" t="s">
        <v>101</v>
      </c>
      <c r="AH142" s="5" t="s">
        <v>101</v>
      </c>
      <c r="AI142" s="5" t="s">
        <v>101</v>
      </c>
      <c r="AJ142" s="5" t="s">
        <v>101</v>
      </c>
      <c r="AK142" s="5" t="s">
        <v>101</v>
      </c>
      <c r="AL142" s="5" t="s">
        <v>101</v>
      </c>
      <c r="AM142" s="5" t="s">
        <v>101</v>
      </c>
      <c r="AN142" s="5"/>
      <c r="AO142" s="5" t="s">
        <v>188</v>
      </c>
      <c r="AP142" s="5" t="s">
        <v>101</v>
      </c>
      <c r="AQ142" s="5"/>
      <c r="AR142" s="5"/>
      <c r="AS142" s="5"/>
      <c r="AT142" s="5" t="s">
        <v>101</v>
      </c>
      <c r="AU142" s="5"/>
      <c r="AV142" s="5" t="s">
        <v>101</v>
      </c>
      <c r="AW142" s="5"/>
      <c r="AX142" s="5"/>
      <c r="AY142" s="5"/>
      <c r="AZ142" s="6" t="str">
        <f t="shared" si="28"/>
        <v>Missing</v>
      </c>
      <c r="BA142" s="7" t="str">
        <f t="shared" ca="1" si="29"/>
        <v>Missing</v>
      </c>
      <c r="BB142" s="7" t="str">
        <f t="shared" si="30"/>
        <v>Missing</v>
      </c>
      <c r="BC142" s="7" t="str">
        <f t="shared" si="31"/>
        <v>OK</v>
      </c>
      <c r="BD142" s="7" t="str">
        <f t="shared" si="32"/>
        <v>Clear</v>
      </c>
      <c r="BE142" s="7" t="str">
        <f t="shared" ca="1" si="33"/>
        <v/>
      </c>
      <c r="BF142" s="7" t="str">
        <f t="shared" ca="1" si="34"/>
        <v/>
      </c>
    </row>
    <row r="143" spans="1:58" x14ac:dyDescent="0.2">
      <c r="A143" s="3" t="s">
        <v>695</v>
      </c>
      <c r="B143" s="3">
        <v>25</v>
      </c>
      <c r="C143" s="3" t="s">
        <v>451</v>
      </c>
      <c r="D143" s="3">
        <v>2916</v>
      </c>
      <c r="E143" s="3" t="s">
        <v>460</v>
      </c>
      <c r="F143" s="3" t="s">
        <v>696</v>
      </c>
      <c r="G143" s="3" t="s">
        <v>462</v>
      </c>
      <c r="H143" s="4" t="s">
        <v>186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 t="s">
        <v>187</v>
      </c>
      <c r="W143" s="5"/>
      <c r="X143" s="5"/>
      <c r="Y143" s="5"/>
      <c r="Z143" s="5" t="s">
        <v>101</v>
      </c>
      <c r="AA143" s="5" t="s">
        <v>101</v>
      </c>
      <c r="AB143" s="5"/>
      <c r="AC143" s="5"/>
      <c r="AD143" s="5"/>
      <c r="AE143" s="5"/>
      <c r="AF143" s="5" t="s">
        <v>101</v>
      </c>
      <c r="AG143" s="5" t="s">
        <v>101</v>
      </c>
      <c r="AH143" s="5" t="s">
        <v>101</v>
      </c>
      <c r="AI143" s="5" t="s">
        <v>101</v>
      </c>
      <c r="AJ143" s="5" t="s">
        <v>101</v>
      </c>
      <c r="AK143" s="5" t="s">
        <v>101</v>
      </c>
      <c r="AL143" s="5" t="s">
        <v>101</v>
      </c>
      <c r="AM143" s="5" t="s">
        <v>101</v>
      </c>
      <c r="AN143" s="5"/>
      <c r="AO143" s="5" t="s">
        <v>188</v>
      </c>
      <c r="AP143" s="5" t="s">
        <v>101</v>
      </c>
      <c r="AQ143" s="5"/>
      <c r="AR143" s="5"/>
      <c r="AS143" s="5"/>
      <c r="AT143" s="5" t="s">
        <v>101</v>
      </c>
      <c r="AU143" s="5"/>
      <c r="AV143" s="5" t="s">
        <v>101</v>
      </c>
      <c r="AW143" s="5"/>
      <c r="AX143" s="5"/>
      <c r="AY143" s="5"/>
      <c r="AZ143" s="6" t="str">
        <f t="shared" si="28"/>
        <v>Missing</v>
      </c>
      <c r="BA143" s="7" t="str">
        <f t="shared" ca="1" si="29"/>
        <v>Missing</v>
      </c>
      <c r="BB143" s="7" t="str">
        <f t="shared" si="30"/>
        <v>Missing</v>
      </c>
      <c r="BC143" s="7" t="str">
        <f t="shared" si="31"/>
        <v>OK</v>
      </c>
      <c r="BD143" s="7" t="str">
        <f t="shared" si="32"/>
        <v>Clear</v>
      </c>
      <c r="BE143" s="7" t="str">
        <f t="shared" ca="1" si="33"/>
        <v/>
      </c>
      <c r="BF143" s="7" t="str">
        <f t="shared" ca="1" si="34"/>
        <v/>
      </c>
    </row>
    <row r="144" spans="1:58" x14ac:dyDescent="0.2">
      <c r="A144" s="3" t="s">
        <v>697</v>
      </c>
      <c r="B144" s="3">
        <v>25</v>
      </c>
      <c r="C144" s="3" t="s">
        <v>451</v>
      </c>
      <c r="D144" s="3">
        <v>2918</v>
      </c>
      <c r="E144" s="3" t="s">
        <v>464</v>
      </c>
      <c r="F144" s="3" t="s">
        <v>698</v>
      </c>
      <c r="G144" s="3" t="s">
        <v>466</v>
      </c>
      <c r="H144" s="4" t="s">
        <v>186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 t="s">
        <v>187</v>
      </c>
      <c r="W144" s="5"/>
      <c r="X144" s="5"/>
      <c r="Y144" s="5"/>
      <c r="Z144" s="5" t="s">
        <v>101</v>
      </c>
      <c r="AA144" s="5" t="s">
        <v>101</v>
      </c>
      <c r="AB144" s="5"/>
      <c r="AC144" s="5"/>
      <c r="AD144" s="5"/>
      <c r="AE144" s="5"/>
      <c r="AF144" s="5" t="s">
        <v>101</v>
      </c>
      <c r="AG144" s="5" t="s">
        <v>101</v>
      </c>
      <c r="AH144" s="5" t="s">
        <v>101</v>
      </c>
      <c r="AI144" s="5" t="s">
        <v>101</v>
      </c>
      <c r="AJ144" s="5" t="s">
        <v>101</v>
      </c>
      <c r="AK144" s="5" t="s">
        <v>101</v>
      </c>
      <c r="AL144" s="5" t="s">
        <v>101</v>
      </c>
      <c r="AM144" s="5" t="s">
        <v>101</v>
      </c>
      <c r="AN144" s="5"/>
      <c r="AO144" s="5" t="s">
        <v>188</v>
      </c>
      <c r="AP144" s="5" t="s">
        <v>101</v>
      </c>
      <c r="AQ144" s="5"/>
      <c r="AR144" s="5"/>
      <c r="AS144" s="5"/>
      <c r="AT144" s="5" t="s">
        <v>101</v>
      </c>
      <c r="AU144" s="5"/>
      <c r="AV144" s="5" t="s">
        <v>101</v>
      </c>
      <c r="AW144" s="5"/>
      <c r="AX144" s="5"/>
      <c r="AY144" s="5"/>
      <c r="AZ144" s="6" t="str">
        <f t="shared" si="28"/>
        <v>Missing</v>
      </c>
      <c r="BA144" s="7" t="str">
        <f t="shared" ca="1" si="29"/>
        <v>Missing</v>
      </c>
      <c r="BB144" s="7" t="str">
        <f t="shared" si="30"/>
        <v>Missing</v>
      </c>
      <c r="BC144" s="7" t="str">
        <f t="shared" si="31"/>
        <v>OK</v>
      </c>
      <c r="BD144" s="7" t="str">
        <f t="shared" si="32"/>
        <v>Clear</v>
      </c>
      <c r="BE144" s="7" t="str">
        <f t="shared" ca="1" si="33"/>
        <v/>
      </c>
      <c r="BF144" s="7" t="str">
        <f t="shared" ca="1" si="34"/>
        <v/>
      </c>
    </row>
    <row r="145" spans="1:58" x14ac:dyDescent="0.2">
      <c r="A145" s="3" t="s">
        <v>699</v>
      </c>
      <c r="B145" s="3">
        <v>25</v>
      </c>
      <c r="C145" s="3" t="s">
        <v>451</v>
      </c>
      <c r="D145" s="3">
        <v>2920</v>
      </c>
      <c r="E145" s="3" t="s">
        <v>468</v>
      </c>
      <c r="F145" s="3" t="s">
        <v>700</v>
      </c>
      <c r="G145" s="3" t="s">
        <v>470</v>
      </c>
      <c r="H145" s="4" t="s">
        <v>186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 t="s">
        <v>187</v>
      </c>
      <c r="W145" s="5"/>
      <c r="X145" s="5"/>
      <c r="Y145" s="5"/>
      <c r="Z145" s="5" t="s">
        <v>101</v>
      </c>
      <c r="AA145" s="5" t="s">
        <v>101</v>
      </c>
      <c r="AB145" s="5"/>
      <c r="AC145" s="5"/>
      <c r="AD145" s="5"/>
      <c r="AE145" s="5"/>
      <c r="AF145" s="5" t="s">
        <v>101</v>
      </c>
      <c r="AG145" s="5" t="s">
        <v>101</v>
      </c>
      <c r="AH145" s="5" t="s">
        <v>101</v>
      </c>
      <c r="AI145" s="5" t="s">
        <v>101</v>
      </c>
      <c r="AJ145" s="5" t="s">
        <v>101</v>
      </c>
      <c r="AK145" s="5" t="s">
        <v>101</v>
      </c>
      <c r="AL145" s="5" t="s">
        <v>101</v>
      </c>
      <c r="AM145" s="5" t="s">
        <v>101</v>
      </c>
      <c r="AN145" s="5"/>
      <c r="AO145" s="5" t="s">
        <v>188</v>
      </c>
      <c r="AP145" s="5" t="s">
        <v>101</v>
      </c>
      <c r="AQ145" s="5"/>
      <c r="AR145" s="5"/>
      <c r="AS145" s="5"/>
      <c r="AT145" s="5" t="s">
        <v>101</v>
      </c>
      <c r="AU145" s="5"/>
      <c r="AV145" s="5" t="s">
        <v>101</v>
      </c>
      <c r="AW145" s="5"/>
      <c r="AX145" s="5"/>
      <c r="AY145" s="5"/>
      <c r="AZ145" s="6" t="str">
        <f t="shared" si="28"/>
        <v>Missing</v>
      </c>
      <c r="BA145" s="7" t="str">
        <f t="shared" ca="1" si="29"/>
        <v>Missing</v>
      </c>
      <c r="BB145" s="7" t="str">
        <f t="shared" si="30"/>
        <v>Missing</v>
      </c>
      <c r="BC145" s="7" t="str">
        <f t="shared" si="31"/>
        <v>OK</v>
      </c>
      <c r="BD145" s="7" t="str">
        <f t="shared" si="32"/>
        <v>Clear</v>
      </c>
      <c r="BE145" s="7" t="str">
        <f t="shared" ca="1" si="33"/>
        <v/>
      </c>
      <c r="BF145" s="7" t="str">
        <f t="shared" ca="1" si="34"/>
        <v/>
      </c>
    </row>
  </sheetData>
  <conditionalFormatting sqref="AZ2:BE145">
    <cfRule type="expression" dxfId="2" priority="1">
      <formula>AZ2="Complete"</formula>
    </cfRule>
    <cfRule type="expression" dxfId="1" priority="2">
      <formula>OR(AZ2="Follow Up",AZ2="Partial",AZ2="Review",AZ2="Renewal &lt;30d",AZ2="Monitor",AZ2="Board Review")</formula>
    </cfRule>
    <cfRule type="expression" dxfId="0" priority="3">
      <formula>OR(AZ2="Missing",AZ2="Expired",AZ2="Immediate Action",AZ2="Active Issue",AZ2="Replacement Risk",AZ2="Open Case")</formula>
    </cfRule>
  </conditionalFormatting>
  <dataValidations count="3">
    <dataValidation type="list" allowBlank="1" sqref="Z2:Z145 AA2:AA145 AF2:AF145 AG2:AG145 AH2:AH145 AI2:AI145 AJ2:AJ145 AK2:AK145 AL2:AL145 AM2:AM145 AP2:AP145 AT2:AT145 AV2:AV145" xr:uid="{00000000-0002-0000-0400-000000000000}">
      <formula1>"Yes,No"</formula1>
    </dataValidation>
    <dataValidation type="list" allowBlank="1" sqref="V2:V145" xr:uid="{00000000-0002-0000-0400-000001000000}">
      <formula1>"Owner Occupied,Tenant,Vacant"</formula1>
    </dataValidation>
    <dataValidation type="list" allowBlank="1" sqref="AN2:AN145" xr:uid="{00000000-0002-0000-0400-000002000000}">
      <formula1>"Healthy,Monitor,Repair Needed,Replacement Risk"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showGridLines="0" zoomScale="216" workbookViewId="0">
      <selection sqref="A1:F1"/>
    </sheetView>
  </sheetViews>
  <sheetFormatPr baseColWidth="10" defaultColWidth="8.83203125" defaultRowHeight="15" x14ac:dyDescent="0.2"/>
  <cols>
    <col min="1" max="1" width="30" customWidth="1"/>
    <col min="2" max="2" width="16" customWidth="1"/>
    <col min="4" max="4" width="30" customWidth="1"/>
    <col min="5" max="5" width="16" customWidth="1"/>
  </cols>
  <sheetData>
    <row r="1" spans="1:6" ht="21" x14ac:dyDescent="0.25">
      <c r="A1" s="19" t="s">
        <v>701</v>
      </c>
      <c r="B1" s="18"/>
      <c r="C1" s="18"/>
      <c r="D1" s="18"/>
      <c r="E1" s="18"/>
      <c r="F1" s="18"/>
    </row>
    <row r="2" spans="1:6" x14ac:dyDescent="0.2">
      <c r="A2" s="8" t="s">
        <v>702</v>
      </c>
      <c r="B2" s="8" t="s">
        <v>703</v>
      </c>
      <c r="D2" s="8" t="s">
        <v>702</v>
      </c>
      <c r="E2" s="8" t="s">
        <v>703</v>
      </c>
    </row>
    <row r="3" spans="1:6" x14ac:dyDescent="0.2">
      <c r="A3" t="s">
        <v>704</v>
      </c>
      <c r="B3" s="9">
        <f>COUNTA(Unit_Master!A2:A145)</f>
        <v>144</v>
      </c>
      <c r="D3" t="s">
        <v>705</v>
      </c>
      <c r="E3" s="9">
        <f>COUNTIF(Unit_Master!BB2:BB145,"Renewal &lt;30d")</f>
        <v>0</v>
      </c>
    </row>
    <row r="4" spans="1:6" x14ac:dyDescent="0.2">
      <c r="A4" t="s">
        <v>706</v>
      </c>
      <c r="B4" s="9" t="str">
        <f ca="1">COUNTIF(Unit_Master!BF2:BF145,"Immediate Action")</f>
        <v/>
      </c>
      <c r="D4" t="s">
        <v>707</v>
      </c>
      <c r="E4" s="9">
        <f>COUNTIF(Unit_Master!BC2:BC145,"Missing")+COUNTIF(Unit_Master!BC2:BC145,"Partial")</f>
        <v>0</v>
      </c>
    </row>
    <row r="5" spans="1:6" x14ac:dyDescent="0.2">
      <c r="A5" t="s">
        <v>708</v>
      </c>
      <c r="B5" s="9" t="str">
        <f ca="1">COUNTIF(Unit_Master!BF2:BF145,"Follow Up")</f>
        <v/>
      </c>
      <c r="D5" t="s">
        <v>709</v>
      </c>
      <c r="E5" s="9" t="str">
        <f ca="1">COUNTIF(Unit_Master!BE2:BE145,"Open Case")</f>
        <v/>
      </c>
    </row>
    <row r="6" spans="1:6" x14ac:dyDescent="0.2">
      <c r="A6" t="s">
        <v>710</v>
      </c>
      <c r="B6" s="9" t="str">
        <f ca="1">COUNTIF(Unit_Master!BF2:BF145,"Complete")</f>
        <v/>
      </c>
      <c r="D6" t="s">
        <v>711</v>
      </c>
      <c r="E6" s="9">
        <f>COUNTIF(Unit_Master!H2:H145,"Review")</f>
        <v>17</v>
      </c>
    </row>
    <row r="7" spans="1:6" x14ac:dyDescent="0.2">
      <c r="A7" t="s">
        <v>712</v>
      </c>
      <c r="B7" s="9">
        <f ca="1">COUNTIF(Unit_Master!BA2:BA145,"Missing")+COUNTIF(Unit_Master!BA2:BA145,"Expired")</f>
        <v>144</v>
      </c>
      <c r="D7" t="s">
        <v>713</v>
      </c>
      <c r="E7" s="9">
        <f>SUMPRODUCT((Building_Checklist!D2:D26&gt;0)*1)</f>
        <v>3</v>
      </c>
    </row>
    <row r="10" spans="1:6" x14ac:dyDescent="0.2">
      <c r="A10" s="10" t="s">
        <v>714</v>
      </c>
    </row>
    <row r="11" spans="1:6" x14ac:dyDescent="0.2">
      <c r="A11" t="s">
        <v>715</v>
      </c>
    </row>
    <row r="12" spans="1:6" x14ac:dyDescent="0.2">
      <c r="A12" t="s">
        <v>716</v>
      </c>
    </row>
    <row r="13" spans="1:6" x14ac:dyDescent="0.2">
      <c r="A13" t="s">
        <v>717</v>
      </c>
    </row>
  </sheetData>
  <mergeCells count="1">
    <mergeCell ref="A1:F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5"/>
  <sheetViews>
    <sheetView showGridLines="0" topLeftCell="A67" zoomScale="200" workbookViewId="0">
      <selection activeCell="C3" sqref="C3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47.83203125" bestFit="1" customWidth="1"/>
    <col min="4" max="4" width="18" customWidth="1"/>
  </cols>
  <sheetData>
    <row r="1" spans="1:4" x14ac:dyDescent="0.2">
      <c r="A1" s="8" t="s">
        <v>28</v>
      </c>
      <c r="B1" s="8" t="s">
        <v>128</v>
      </c>
      <c r="C1" s="8" t="s">
        <v>32</v>
      </c>
      <c r="D1" s="8" t="s">
        <v>130</v>
      </c>
    </row>
    <row r="2" spans="1:4" x14ac:dyDescent="0.2">
      <c r="A2">
        <v>1</v>
      </c>
      <c r="B2" t="s">
        <v>183</v>
      </c>
      <c r="C2" t="s">
        <v>184</v>
      </c>
      <c r="D2" t="s">
        <v>186</v>
      </c>
    </row>
    <row r="3" spans="1:4" x14ac:dyDescent="0.2">
      <c r="A3">
        <v>1</v>
      </c>
      <c r="B3" t="s">
        <v>190</v>
      </c>
      <c r="C3" t="s">
        <v>191</v>
      </c>
      <c r="D3" t="s">
        <v>186</v>
      </c>
    </row>
    <row r="4" spans="1:4" x14ac:dyDescent="0.2">
      <c r="A4">
        <v>1</v>
      </c>
      <c r="B4" t="s">
        <v>194</v>
      </c>
      <c r="C4" t="s">
        <v>195</v>
      </c>
      <c r="D4" t="s">
        <v>186</v>
      </c>
    </row>
    <row r="5" spans="1:4" x14ac:dyDescent="0.2">
      <c r="A5">
        <v>1</v>
      </c>
      <c r="B5" t="s">
        <v>198</v>
      </c>
      <c r="C5" t="s">
        <v>199</v>
      </c>
      <c r="D5" t="s">
        <v>186</v>
      </c>
    </row>
    <row r="6" spans="1:4" x14ac:dyDescent="0.2">
      <c r="A6">
        <v>1</v>
      </c>
      <c r="B6" t="s">
        <v>202</v>
      </c>
      <c r="C6" t="s">
        <v>203</v>
      </c>
      <c r="D6" t="s">
        <v>186</v>
      </c>
    </row>
    <row r="7" spans="1:4" x14ac:dyDescent="0.2">
      <c r="A7">
        <v>1</v>
      </c>
      <c r="B7" t="s">
        <v>206</v>
      </c>
      <c r="C7" t="s">
        <v>207</v>
      </c>
      <c r="D7" t="s">
        <v>186</v>
      </c>
    </row>
    <row r="8" spans="1:4" x14ac:dyDescent="0.2">
      <c r="A8">
        <v>1</v>
      </c>
      <c r="B8" t="s">
        <v>210</v>
      </c>
      <c r="C8" t="s">
        <v>211</v>
      </c>
      <c r="D8" t="s">
        <v>186</v>
      </c>
    </row>
    <row r="9" spans="1:4" x14ac:dyDescent="0.2">
      <c r="A9">
        <v>2</v>
      </c>
      <c r="B9" t="s">
        <v>214</v>
      </c>
      <c r="C9" t="s">
        <v>215</v>
      </c>
      <c r="D9" t="s">
        <v>186</v>
      </c>
    </row>
    <row r="10" spans="1:4" x14ac:dyDescent="0.2">
      <c r="A10">
        <v>2</v>
      </c>
      <c r="B10" t="s">
        <v>218</v>
      </c>
      <c r="C10" t="s">
        <v>219</v>
      </c>
      <c r="D10" t="s">
        <v>186</v>
      </c>
    </row>
    <row r="11" spans="1:4" x14ac:dyDescent="0.2">
      <c r="A11">
        <v>2</v>
      </c>
      <c r="B11" t="s">
        <v>222</v>
      </c>
      <c r="C11" t="s">
        <v>223</v>
      </c>
      <c r="D11" t="s">
        <v>186</v>
      </c>
    </row>
    <row r="12" spans="1:4" x14ac:dyDescent="0.2">
      <c r="A12">
        <v>2</v>
      </c>
      <c r="B12" t="s">
        <v>226</v>
      </c>
      <c r="C12" t="s">
        <v>227</v>
      </c>
      <c r="D12" t="s">
        <v>186</v>
      </c>
    </row>
    <row r="13" spans="1:4" x14ac:dyDescent="0.2">
      <c r="A13">
        <v>2</v>
      </c>
      <c r="B13" t="s">
        <v>230</v>
      </c>
      <c r="C13" t="s">
        <v>231</v>
      </c>
      <c r="D13" t="s">
        <v>186</v>
      </c>
    </row>
    <row r="14" spans="1:4" x14ac:dyDescent="0.2">
      <c r="A14">
        <v>2</v>
      </c>
      <c r="B14" t="s">
        <v>234</v>
      </c>
      <c r="C14" t="s">
        <v>235</v>
      </c>
      <c r="D14" t="s">
        <v>186</v>
      </c>
    </row>
    <row r="15" spans="1:4" x14ac:dyDescent="0.2">
      <c r="A15">
        <v>3</v>
      </c>
      <c r="B15" t="s">
        <v>239</v>
      </c>
      <c r="C15" t="s">
        <v>240</v>
      </c>
      <c r="D15" t="s">
        <v>186</v>
      </c>
    </row>
    <row r="16" spans="1:4" x14ac:dyDescent="0.2">
      <c r="A16">
        <v>3</v>
      </c>
      <c r="B16" t="s">
        <v>243</v>
      </c>
      <c r="C16" t="s">
        <v>244</v>
      </c>
      <c r="D16" t="s">
        <v>186</v>
      </c>
    </row>
    <row r="17" spans="1:4" x14ac:dyDescent="0.2">
      <c r="A17">
        <v>3</v>
      </c>
      <c r="B17" t="s">
        <v>247</v>
      </c>
      <c r="C17" t="s">
        <v>248</v>
      </c>
      <c r="D17" t="s">
        <v>186</v>
      </c>
    </row>
    <row r="18" spans="1:4" x14ac:dyDescent="0.2">
      <c r="A18">
        <v>3</v>
      </c>
      <c r="B18" t="s">
        <v>251</v>
      </c>
      <c r="C18" t="s">
        <v>252</v>
      </c>
      <c r="D18" t="s">
        <v>186</v>
      </c>
    </row>
    <row r="19" spans="1:4" x14ac:dyDescent="0.2">
      <c r="A19">
        <v>3</v>
      </c>
      <c r="B19" t="s">
        <v>255</v>
      </c>
      <c r="C19" t="s">
        <v>256</v>
      </c>
      <c r="D19" t="s">
        <v>186</v>
      </c>
    </row>
    <row r="20" spans="1:4" x14ac:dyDescent="0.2">
      <c r="A20">
        <v>3</v>
      </c>
      <c r="B20" t="s">
        <v>259</v>
      </c>
      <c r="C20" t="s">
        <v>260</v>
      </c>
      <c r="D20" t="s">
        <v>186</v>
      </c>
    </row>
    <row r="21" spans="1:4" x14ac:dyDescent="0.2">
      <c r="A21">
        <v>4</v>
      </c>
      <c r="B21" t="s">
        <v>263</v>
      </c>
      <c r="C21" t="s">
        <v>264</v>
      </c>
      <c r="D21" t="s">
        <v>186</v>
      </c>
    </row>
    <row r="22" spans="1:4" x14ac:dyDescent="0.2">
      <c r="A22">
        <v>4</v>
      </c>
      <c r="B22" t="s">
        <v>267</v>
      </c>
      <c r="C22" t="s">
        <v>268</v>
      </c>
      <c r="D22" t="s">
        <v>186</v>
      </c>
    </row>
    <row r="23" spans="1:4" x14ac:dyDescent="0.2">
      <c r="A23">
        <v>4</v>
      </c>
      <c r="B23" t="s">
        <v>271</v>
      </c>
      <c r="C23" t="s">
        <v>272</v>
      </c>
      <c r="D23" t="s">
        <v>186</v>
      </c>
    </row>
    <row r="24" spans="1:4" x14ac:dyDescent="0.2">
      <c r="A24">
        <v>4</v>
      </c>
      <c r="B24" t="s">
        <v>275</v>
      </c>
      <c r="C24" t="s">
        <v>276</v>
      </c>
      <c r="D24" t="s">
        <v>186</v>
      </c>
    </row>
    <row r="25" spans="1:4" x14ac:dyDescent="0.2">
      <c r="A25">
        <v>4</v>
      </c>
      <c r="B25" t="s">
        <v>279</v>
      </c>
      <c r="C25" t="s">
        <v>280</v>
      </c>
      <c r="D25" t="s">
        <v>186</v>
      </c>
    </row>
    <row r="26" spans="1:4" x14ac:dyDescent="0.2">
      <c r="A26">
        <v>4</v>
      </c>
      <c r="B26" t="s">
        <v>283</v>
      </c>
      <c r="C26" t="s">
        <v>284</v>
      </c>
      <c r="D26" t="s">
        <v>186</v>
      </c>
    </row>
    <row r="27" spans="1:4" x14ac:dyDescent="0.2">
      <c r="A27">
        <v>5</v>
      </c>
      <c r="B27" t="s">
        <v>287</v>
      </c>
      <c r="C27" t="s">
        <v>288</v>
      </c>
      <c r="D27" t="s">
        <v>186</v>
      </c>
    </row>
    <row r="28" spans="1:4" x14ac:dyDescent="0.2">
      <c r="A28">
        <v>5</v>
      </c>
      <c r="B28" t="s">
        <v>291</v>
      </c>
      <c r="C28" t="s">
        <v>292</v>
      </c>
      <c r="D28" t="s">
        <v>186</v>
      </c>
    </row>
    <row r="29" spans="1:4" x14ac:dyDescent="0.2">
      <c r="A29">
        <v>5</v>
      </c>
      <c r="B29" t="s">
        <v>295</v>
      </c>
      <c r="C29" t="s">
        <v>296</v>
      </c>
      <c r="D29" t="s">
        <v>186</v>
      </c>
    </row>
    <row r="30" spans="1:4" x14ac:dyDescent="0.2">
      <c r="A30">
        <v>5</v>
      </c>
      <c r="B30" t="s">
        <v>299</v>
      </c>
      <c r="C30" t="s">
        <v>300</v>
      </c>
      <c r="D30" t="s">
        <v>186</v>
      </c>
    </row>
    <row r="31" spans="1:4" x14ac:dyDescent="0.2">
      <c r="A31">
        <v>5</v>
      </c>
      <c r="B31" t="s">
        <v>303</v>
      </c>
      <c r="C31" t="s">
        <v>304</v>
      </c>
      <c r="D31" t="s">
        <v>186</v>
      </c>
    </row>
    <row r="32" spans="1:4" x14ac:dyDescent="0.2">
      <c r="A32">
        <v>6</v>
      </c>
      <c r="B32" t="s">
        <v>307</v>
      </c>
      <c r="C32" t="s">
        <v>308</v>
      </c>
      <c r="D32" t="s">
        <v>186</v>
      </c>
    </row>
    <row r="33" spans="1:4" x14ac:dyDescent="0.2">
      <c r="A33">
        <v>6</v>
      </c>
      <c r="B33" t="s">
        <v>311</v>
      </c>
      <c r="C33" t="s">
        <v>312</v>
      </c>
      <c r="D33" t="s">
        <v>186</v>
      </c>
    </row>
    <row r="34" spans="1:4" x14ac:dyDescent="0.2">
      <c r="A34">
        <v>6</v>
      </c>
      <c r="B34" t="s">
        <v>315</v>
      </c>
      <c r="C34" t="s">
        <v>316</v>
      </c>
      <c r="D34" t="s">
        <v>186</v>
      </c>
    </row>
    <row r="35" spans="1:4" x14ac:dyDescent="0.2">
      <c r="A35">
        <v>6</v>
      </c>
      <c r="B35" t="s">
        <v>319</v>
      </c>
      <c r="C35" t="s">
        <v>320</v>
      </c>
      <c r="D35" t="s">
        <v>186</v>
      </c>
    </row>
    <row r="36" spans="1:4" x14ac:dyDescent="0.2">
      <c r="A36">
        <v>6</v>
      </c>
      <c r="B36" t="s">
        <v>323</v>
      </c>
      <c r="C36" t="s">
        <v>324</v>
      </c>
      <c r="D36" t="s">
        <v>186</v>
      </c>
    </row>
    <row r="37" spans="1:4" x14ac:dyDescent="0.2">
      <c r="A37">
        <v>6</v>
      </c>
      <c r="B37" t="s">
        <v>327</v>
      </c>
      <c r="C37" t="s">
        <v>328</v>
      </c>
      <c r="D37" t="s">
        <v>186</v>
      </c>
    </row>
    <row r="38" spans="1:4" x14ac:dyDescent="0.2">
      <c r="A38">
        <v>7</v>
      </c>
      <c r="B38" t="s">
        <v>331</v>
      </c>
      <c r="C38" t="s">
        <v>332</v>
      </c>
      <c r="D38" t="s">
        <v>186</v>
      </c>
    </row>
    <row r="39" spans="1:4" x14ac:dyDescent="0.2">
      <c r="A39">
        <v>7</v>
      </c>
      <c r="B39" t="s">
        <v>335</v>
      </c>
      <c r="C39" t="s">
        <v>336</v>
      </c>
      <c r="D39" t="s">
        <v>186</v>
      </c>
    </row>
    <row r="40" spans="1:4" x14ac:dyDescent="0.2">
      <c r="A40">
        <v>7</v>
      </c>
      <c r="B40" t="s">
        <v>339</v>
      </c>
      <c r="C40" t="s">
        <v>340</v>
      </c>
      <c r="D40" t="s">
        <v>186</v>
      </c>
    </row>
    <row r="41" spans="1:4" x14ac:dyDescent="0.2">
      <c r="A41">
        <v>7</v>
      </c>
      <c r="B41" t="s">
        <v>343</v>
      </c>
      <c r="C41" t="s">
        <v>344</v>
      </c>
      <c r="D41" t="s">
        <v>186</v>
      </c>
    </row>
    <row r="42" spans="1:4" x14ac:dyDescent="0.2">
      <c r="A42">
        <v>7</v>
      </c>
      <c r="B42" t="s">
        <v>347</v>
      </c>
      <c r="C42" t="s">
        <v>348</v>
      </c>
      <c r="D42" t="s">
        <v>186</v>
      </c>
    </row>
    <row r="43" spans="1:4" x14ac:dyDescent="0.2">
      <c r="A43">
        <v>7</v>
      </c>
      <c r="B43" t="s">
        <v>351</v>
      </c>
      <c r="C43" t="s">
        <v>352</v>
      </c>
      <c r="D43" t="s">
        <v>186</v>
      </c>
    </row>
    <row r="44" spans="1:4" x14ac:dyDescent="0.2">
      <c r="A44">
        <v>8</v>
      </c>
      <c r="B44" t="s">
        <v>355</v>
      </c>
      <c r="C44" t="s">
        <v>356</v>
      </c>
      <c r="D44" t="s">
        <v>186</v>
      </c>
    </row>
    <row r="45" spans="1:4" x14ac:dyDescent="0.2">
      <c r="A45">
        <v>8</v>
      </c>
      <c r="B45" t="s">
        <v>359</v>
      </c>
      <c r="C45" t="s">
        <v>360</v>
      </c>
      <c r="D45" t="s">
        <v>186</v>
      </c>
    </row>
    <row r="46" spans="1:4" x14ac:dyDescent="0.2">
      <c r="A46">
        <v>8</v>
      </c>
      <c r="B46" t="s">
        <v>363</v>
      </c>
      <c r="C46" t="s">
        <v>364</v>
      </c>
      <c r="D46" t="s">
        <v>186</v>
      </c>
    </row>
    <row r="47" spans="1:4" x14ac:dyDescent="0.2">
      <c r="A47">
        <v>8</v>
      </c>
      <c r="B47" t="s">
        <v>367</v>
      </c>
      <c r="C47" t="s">
        <v>368</v>
      </c>
      <c r="D47" t="s">
        <v>186</v>
      </c>
    </row>
    <row r="48" spans="1:4" x14ac:dyDescent="0.2">
      <c r="A48">
        <v>8</v>
      </c>
      <c r="B48" t="s">
        <v>371</v>
      </c>
      <c r="C48" t="s">
        <v>372</v>
      </c>
      <c r="D48" t="s">
        <v>186</v>
      </c>
    </row>
    <row r="49" spans="1:4" x14ac:dyDescent="0.2">
      <c r="A49">
        <v>8</v>
      </c>
      <c r="B49" t="s">
        <v>375</v>
      </c>
      <c r="C49" t="s">
        <v>376</v>
      </c>
      <c r="D49" t="s">
        <v>186</v>
      </c>
    </row>
    <row r="50" spans="1:4" x14ac:dyDescent="0.2">
      <c r="A50">
        <v>8</v>
      </c>
      <c r="B50" t="s">
        <v>379</v>
      </c>
      <c r="C50" t="s">
        <v>380</v>
      </c>
      <c r="D50" t="s">
        <v>186</v>
      </c>
    </row>
    <row r="51" spans="1:4" x14ac:dyDescent="0.2">
      <c r="A51">
        <v>9</v>
      </c>
      <c r="B51" t="s">
        <v>383</v>
      </c>
      <c r="C51" t="s">
        <v>384</v>
      </c>
      <c r="D51" t="s">
        <v>186</v>
      </c>
    </row>
    <row r="52" spans="1:4" x14ac:dyDescent="0.2">
      <c r="A52">
        <v>9</v>
      </c>
      <c r="B52" t="s">
        <v>387</v>
      </c>
      <c r="C52" t="s">
        <v>388</v>
      </c>
      <c r="D52" t="s">
        <v>186</v>
      </c>
    </row>
    <row r="53" spans="1:4" x14ac:dyDescent="0.2">
      <c r="A53">
        <v>9</v>
      </c>
      <c r="B53" t="s">
        <v>391</v>
      </c>
      <c r="C53" t="s">
        <v>392</v>
      </c>
      <c r="D53" t="s">
        <v>186</v>
      </c>
    </row>
    <row r="54" spans="1:4" x14ac:dyDescent="0.2">
      <c r="A54">
        <v>9</v>
      </c>
      <c r="B54" t="s">
        <v>395</v>
      </c>
      <c r="C54" t="s">
        <v>396</v>
      </c>
      <c r="D54" t="s">
        <v>186</v>
      </c>
    </row>
    <row r="55" spans="1:4" x14ac:dyDescent="0.2">
      <c r="A55">
        <v>9</v>
      </c>
      <c r="B55" t="s">
        <v>399</v>
      </c>
      <c r="C55" t="s">
        <v>400</v>
      </c>
      <c r="D55" t="s">
        <v>186</v>
      </c>
    </row>
    <row r="56" spans="1:4" x14ac:dyDescent="0.2">
      <c r="A56">
        <v>9</v>
      </c>
      <c r="B56" t="s">
        <v>403</v>
      </c>
      <c r="C56" t="s">
        <v>404</v>
      </c>
      <c r="D56" t="s">
        <v>186</v>
      </c>
    </row>
    <row r="57" spans="1:4" x14ac:dyDescent="0.2">
      <c r="A57">
        <v>10</v>
      </c>
      <c r="B57" t="s">
        <v>407</v>
      </c>
      <c r="C57" t="s">
        <v>408</v>
      </c>
      <c r="D57" t="s">
        <v>186</v>
      </c>
    </row>
    <row r="58" spans="1:4" x14ac:dyDescent="0.2">
      <c r="A58">
        <v>10</v>
      </c>
      <c r="B58" t="s">
        <v>411</v>
      </c>
      <c r="C58" t="s">
        <v>412</v>
      </c>
      <c r="D58" t="s">
        <v>186</v>
      </c>
    </row>
    <row r="59" spans="1:4" x14ac:dyDescent="0.2">
      <c r="A59">
        <v>10</v>
      </c>
      <c r="B59" t="s">
        <v>415</v>
      </c>
      <c r="C59" t="s">
        <v>416</v>
      </c>
      <c r="D59" t="s">
        <v>186</v>
      </c>
    </row>
    <row r="60" spans="1:4" x14ac:dyDescent="0.2">
      <c r="A60">
        <v>10</v>
      </c>
      <c r="B60" t="s">
        <v>419</v>
      </c>
      <c r="C60" t="s">
        <v>420</v>
      </c>
      <c r="D60" t="s">
        <v>186</v>
      </c>
    </row>
    <row r="61" spans="1:4" x14ac:dyDescent="0.2">
      <c r="A61">
        <v>10</v>
      </c>
      <c r="B61" t="s">
        <v>423</v>
      </c>
      <c r="C61" t="s">
        <v>424</v>
      </c>
      <c r="D61" t="s">
        <v>186</v>
      </c>
    </row>
    <row r="62" spans="1:4" x14ac:dyDescent="0.2">
      <c r="A62">
        <v>11</v>
      </c>
      <c r="B62" t="s">
        <v>427</v>
      </c>
      <c r="C62" t="s">
        <v>428</v>
      </c>
      <c r="D62" t="s">
        <v>186</v>
      </c>
    </row>
    <row r="63" spans="1:4" x14ac:dyDescent="0.2">
      <c r="A63">
        <v>11</v>
      </c>
      <c r="B63" t="s">
        <v>431</v>
      </c>
      <c r="C63" t="s">
        <v>432</v>
      </c>
      <c r="D63" t="s">
        <v>186</v>
      </c>
    </row>
    <row r="64" spans="1:4" x14ac:dyDescent="0.2">
      <c r="A64">
        <v>11</v>
      </c>
      <c r="B64" t="s">
        <v>435</v>
      </c>
      <c r="C64" t="s">
        <v>436</v>
      </c>
      <c r="D64" t="s">
        <v>186</v>
      </c>
    </row>
    <row r="65" spans="1:4" x14ac:dyDescent="0.2">
      <c r="A65">
        <v>11</v>
      </c>
      <c r="B65" t="s">
        <v>439</v>
      </c>
      <c r="C65" t="s">
        <v>440</v>
      </c>
      <c r="D65" t="s">
        <v>186</v>
      </c>
    </row>
    <row r="66" spans="1:4" x14ac:dyDescent="0.2">
      <c r="A66">
        <v>11</v>
      </c>
      <c r="B66" t="s">
        <v>443</v>
      </c>
      <c r="C66" t="s">
        <v>444</v>
      </c>
      <c r="D66" t="s">
        <v>186</v>
      </c>
    </row>
    <row r="67" spans="1:4" x14ac:dyDescent="0.2">
      <c r="A67">
        <v>11</v>
      </c>
      <c r="B67" t="s">
        <v>447</v>
      </c>
      <c r="C67" t="s">
        <v>448</v>
      </c>
      <c r="D67" t="s">
        <v>186</v>
      </c>
    </row>
    <row r="68" spans="1:4" x14ac:dyDescent="0.2">
      <c r="A68">
        <v>12</v>
      </c>
      <c r="B68" t="s">
        <v>452</v>
      </c>
      <c r="C68" t="s">
        <v>453</v>
      </c>
      <c r="D68" t="s">
        <v>186</v>
      </c>
    </row>
    <row r="69" spans="1:4" x14ac:dyDescent="0.2">
      <c r="A69">
        <v>12</v>
      </c>
      <c r="B69" t="s">
        <v>456</v>
      </c>
      <c r="C69" t="s">
        <v>457</v>
      </c>
      <c r="D69" t="s">
        <v>186</v>
      </c>
    </row>
    <row r="70" spans="1:4" x14ac:dyDescent="0.2">
      <c r="A70">
        <v>12</v>
      </c>
      <c r="B70" t="s">
        <v>460</v>
      </c>
      <c r="C70" t="s">
        <v>461</v>
      </c>
      <c r="D70" t="s">
        <v>186</v>
      </c>
    </row>
    <row r="71" spans="1:4" x14ac:dyDescent="0.2">
      <c r="A71">
        <v>12</v>
      </c>
      <c r="B71" t="s">
        <v>464</v>
      </c>
      <c r="C71" t="s">
        <v>465</v>
      </c>
      <c r="D71" t="s">
        <v>186</v>
      </c>
    </row>
    <row r="72" spans="1:4" x14ac:dyDescent="0.2">
      <c r="A72">
        <v>12</v>
      </c>
      <c r="B72" t="s">
        <v>468</v>
      </c>
      <c r="C72" t="s">
        <v>469</v>
      </c>
      <c r="D72" t="s">
        <v>186</v>
      </c>
    </row>
    <row r="73" spans="1:4" x14ac:dyDescent="0.2">
      <c r="A73">
        <v>13</v>
      </c>
      <c r="B73" t="s">
        <v>472</v>
      </c>
      <c r="C73" t="s">
        <v>473</v>
      </c>
      <c r="D73" t="s">
        <v>186</v>
      </c>
    </row>
    <row r="74" spans="1:4" x14ac:dyDescent="0.2">
      <c r="A74">
        <v>13</v>
      </c>
      <c r="B74" t="s">
        <v>476</v>
      </c>
      <c r="C74" t="s">
        <v>477</v>
      </c>
      <c r="D74" t="s">
        <v>186</v>
      </c>
    </row>
    <row r="75" spans="1:4" x14ac:dyDescent="0.2">
      <c r="A75">
        <v>13</v>
      </c>
      <c r="B75" t="s">
        <v>480</v>
      </c>
      <c r="C75" t="s">
        <v>481</v>
      </c>
      <c r="D75" t="s">
        <v>186</v>
      </c>
    </row>
    <row r="76" spans="1:4" x14ac:dyDescent="0.2">
      <c r="A76">
        <v>13</v>
      </c>
      <c r="B76" t="s">
        <v>484</v>
      </c>
      <c r="C76" t="s">
        <v>485</v>
      </c>
      <c r="D76" t="s">
        <v>186</v>
      </c>
    </row>
    <row r="77" spans="1:4" x14ac:dyDescent="0.2">
      <c r="A77">
        <v>13</v>
      </c>
      <c r="B77" t="s">
        <v>488</v>
      </c>
      <c r="C77" t="s">
        <v>489</v>
      </c>
      <c r="D77" t="s">
        <v>186</v>
      </c>
    </row>
    <row r="78" spans="1:4" x14ac:dyDescent="0.2">
      <c r="A78">
        <v>14</v>
      </c>
      <c r="B78" t="s">
        <v>42</v>
      </c>
      <c r="C78" t="s">
        <v>43</v>
      </c>
      <c r="D78" t="s">
        <v>44</v>
      </c>
    </row>
    <row r="79" spans="1:4" x14ac:dyDescent="0.2">
      <c r="A79">
        <v>14</v>
      </c>
      <c r="B79" t="s">
        <v>48</v>
      </c>
      <c r="C79" t="s">
        <v>49</v>
      </c>
      <c r="D79" t="s">
        <v>44</v>
      </c>
    </row>
    <row r="80" spans="1:4" x14ac:dyDescent="0.2">
      <c r="A80">
        <v>14</v>
      </c>
      <c r="B80" t="s">
        <v>51</v>
      </c>
      <c r="C80" t="s">
        <v>52</v>
      </c>
      <c r="D80" t="s">
        <v>44</v>
      </c>
    </row>
    <row r="81" spans="1:4" x14ac:dyDescent="0.2">
      <c r="A81">
        <v>14</v>
      </c>
      <c r="B81" t="s">
        <v>54</v>
      </c>
      <c r="C81" t="s">
        <v>55</v>
      </c>
      <c r="D81" t="s">
        <v>44</v>
      </c>
    </row>
    <row r="82" spans="1:4" x14ac:dyDescent="0.2">
      <c r="A82">
        <v>14</v>
      </c>
      <c r="B82" t="s">
        <v>57</v>
      </c>
      <c r="C82" t="s">
        <v>58</v>
      </c>
      <c r="D82" t="s">
        <v>44</v>
      </c>
    </row>
    <row r="83" spans="1:4" x14ac:dyDescent="0.2">
      <c r="A83">
        <v>14</v>
      </c>
      <c r="B83" t="s">
        <v>60</v>
      </c>
      <c r="C83" t="s">
        <v>61</v>
      </c>
      <c r="D83" t="s">
        <v>44</v>
      </c>
    </row>
    <row r="84" spans="1:4" x14ac:dyDescent="0.2">
      <c r="A84">
        <v>15</v>
      </c>
      <c r="B84" t="s">
        <v>498</v>
      </c>
      <c r="C84" t="s">
        <v>499</v>
      </c>
      <c r="D84" t="s">
        <v>186</v>
      </c>
    </row>
    <row r="85" spans="1:4" x14ac:dyDescent="0.2">
      <c r="A85">
        <v>15</v>
      </c>
      <c r="B85" t="s">
        <v>502</v>
      </c>
      <c r="C85" t="s">
        <v>503</v>
      </c>
      <c r="D85" t="s">
        <v>186</v>
      </c>
    </row>
    <row r="86" spans="1:4" x14ac:dyDescent="0.2">
      <c r="A86">
        <v>15</v>
      </c>
      <c r="B86" t="s">
        <v>506</v>
      </c>
      <c r="C86" t="s">
        <v>507</v>
      </c>
      <c r="D86" t="s">
        <v>186</v>
      </c>
    </row>
    <row r="87" spans="1:4" x14ac:dyDescent="0.2">
      <c r="A87">
        <v>15</v>
      </c>
      <c r="B87" t="s">
        <v>510</v>
      </c>
      <c r="C87" t="s">
        <v>511</v>
      </c>
      <c r="D87" t="s">
        <v>186</v>
      </c>
    </row>
    <row r="88" spans="1:4" x14ac:dyDescent="0.2">
      <c r="A88">
        <v>15</v>
      </c>
      <c r="B88" t="s">
        <v>514</v>
      </c>
      <c r="C88" t="s">
        <v>515</v>
      </c>
      <c r="D88" t="s">
        <v>186</v>
      </c>
    </row>
    <row r="89" spans="1:4" x14ac:dyDescent="0.2">
      <c r="A89">
        <v>16</v>
      </c>
      <c r="B89" t="s">
        <v>518</v>
      </c>
      <c r="C89" t="s">
        <v>519</v>
      </c>
      <c r="D89" t="s">
        <v>186</v>
      </c>
    </row>
    <row r="90" spans="1:4" x14ac:dyDescent="0.2">
      <c r="A90">
        <v>16</v>
      </c>
      <c r="B90" t="s">
        <v>522</v>
      </c>
      <c r="C90" t="s">
        <v>523</v>
      </c>
      <c r="D90" t="s">
        <v>186</v>
      </c>
    </row>
    <row r="91" spans="1:4" x14ac:dyDescent="0.2">
      <c r="A91">
        <v>16</v>
      </c>
      <c r="B91" t="s">
        <v>526</v>
      </c>
      <c r="C91" t="s">
        <v>527</v>
      </c>
      <c r="D91" t="s">
        <v>186</v>
      </c>
    </row>
    <row r="92" spans="1:4" x14ac:dyDescent="0.2">
      <c r="A92">
        <v>16</v>
      </c>
      <c r="B92" t="s">
        <v>530</v>
      </c>
      <c r="C92" t="s">
        <v>531</v>
      </c>
      <c r="D92" t="s">
        <v>186</v>
      </c>
    </row>
    <row r="93" spans="1:4" x14ac:dyDescent="0.2">
      <c r="A93">
        <v>16</v>
      </c>
      <c r="B93" t="s">
        <v>534</v>
      </c>
      <c r="C93" t="s">
        <v>535</v>
      </c>
      <c r="D93" t="s">
        <v>186</v>
      </c>
    </row>
    <row r="94" spans="1:4" x14ac:dyDescent="0.2">
      <c r="A94">
        <v>17</v>
      </c>
      <c r="B94" t="s">
        <v>64</v>
      </c>
      <c r="C94" t="s">
        <v>65</v>
      </c>
      <c r="D94" t="s">
        <v>44</v>
      </c>
    </row>
    <row r="95" spans="1:4" x14ac:dyDescent="0.2">
      <c r="A95">
        <v>17</v>
      </c>
      <c r="B95" t="s">
        <v>67</v>
      </c>
      <c r="C95" t="s">
        <v>68</v>
      </c>
      <c r="D95" t="s">
        <v>44</v>
      </c>
    </row>
    <row r="96" spans="1:4" x14ac:dyDescent="0.2">
      <c r="A96">
        <v>17</v>
      </c>
      <c r="B96" t="s">
        <v>70</v>
      </c>
      <c r="C96" t="s">
        <v>71</v>
      </c>
      <c r="D96" t="s">
        <v>44</v>
      </c>
    </row>
    <row r="97" spans="1:4" x14ac:dyDescent="0.2">
      <c r="A97">
        <v>17</v>
      </c>
      <c r="B97" t="s">
        <v>73</v>
      </c>
      <c r="C97" t="s">
        <v>74</v>
      </c>
      <c r="D97" t="s">
        <v>44</v>
      </c>
    </row>
    <row r="98" spans="1:4" x14ac:dyDescent="0.2">
      <c r="A98">
        <v>17</v>
      </c>
      <c r="B98" t="s">
        <v>76</v>
      </c>
      <c r="C98" t="s">
        <v>77</v>
      </c>
      <c r="D98" t="s">
        <v>44</v>
      </c>
    </row>
    <row r="99" spans="1:4" x14ac:dyDescent="0.2">
      <c r="A99">
        <v>17</v>
      </c>
      <c r="B99" t="s">
        <v>79</v>
      </c>
      <c r="C99" t="s">
        <v>80</v>
      </c>
      <c r="D99" t="s">
        <v>44</v>
      </c>
    </row>
    <row r="100" spans="1:4" x14ac:dyDescent="0.2">
      <c r="A100">
        <v>18</v>
      </c>
      <c r="B100" t="s">
        <v>545</v>
      </c>
      <c r="C100" t="s">
        <v>546</v>
      </c>
      <c r="D100" t="s">
        <v>186</v>
      </c>
    </row>
    <row r="101" spans="1:4" x14ac:dyDescent="0.2">
      <c r="A101">
        <v>18</v>
      </c>
      <c r="B101" t="s">
        <v>549</v>
      </c>
      <c r="C101" t="s">
        <v>550</v>
      </c>
      <c r="D101" t="s">
        <v>186</v>
      </c>
    </row>
    <row r="102" spans="1:4" x14ac:dyDescent="0.2">
      <c r="A102">
        <v>18</v>
      </c>
      <c r="B102" t="s">
        <v>553</v>
      </c>
      <c r="C102" t="s">
        <v>554</v>
      </c>
      <c r="D102" t="s">
        <v>186</v>
      </c>
    </row>
    <row r="103" spans="1:4" x14ac:dyDescent="0.2">
      <c r="A103">
        <v>18</v>
      </c>
      <c r="B103" t="s">
        <v>557</v>
      </c>
      <c r="C103" t="s">
        <v>558</v>
      </c>
      <c r="D103" t="s">
        <v>186</v>
      </c>
    </row>
    <row r="104" spans="1:4" x14ac:dyDescent="0.2">
      <c r="A104">
        <v>18</v>
      </c>
      <c r="B104" t="s">
        <v>561</v>
      </c>
      <c r="C104" t="s">
        <v>562</v>
      </c>
      <c r="D104" t="s">
        <v>186</v>
      </c>
    </row>
    <row r="105" spans="1:4" x14ac:dyDescent="0.2">
      <c r="A105">
        <v>18</v>
      </c>
      <c r="B105" t="s">
        <v>565</v>
      </c>
      <c r="C105" t="s">
        <v>566</v>
      </c>
      <c r="D105" t="s">
        <v>186</v>
      </c>
    </row>
    <row r="106" spans="1:4" x14ac:dyDescent="0.2">
      <c r="A106">
        <v>19</v>
      </c>
      <c r="B106" t="s">
        <v>569</v>
      </c>
      <c r="C106" t="s">
        <v>570</v>
      </c>
      <c r="D106" t="s">
        <v>186</v>
      </c>
    </row>
    <row r="107" spans="1:4" x14ac:dyDescent="0.2">
      <c r="A107">
        <v>19</v>
      </c>
      <c r="B107" t="s">
        <v>573</v>
      </c>
      <c r="C107" t="s">
        <v>574</v>
      </c>
      <c r="D107" t="s">
        <v>186</v>
      </c>
    </row>
    <row r="108" spans="1:4" x14ac:dyDescent="0.2">
      <c r="A108">
        <v>19</v>
      </c>
      <c r="B108" t="s">
        <v>577</v>
      </c>
      <c r="C108" t="s">
        <v>578</v>
      </c>
      <c r="D108" t="s">
        <v>186</v>
      </c>
    </row>
    <row r="109" spans="1:4" x14ac:dyDescent="0.2">
      <c r="A109">
        <v>19</v>
      </c>
      <c r="B109" t="s">
        <v>581</v>
      </c>
      <c r="C109" t="s">
        <v>582</v>
      </c>
      <c r="D109" t="s">
        <v>186</v>
      </c>
    </row>
    <row r="110" spans="1:4" x14ac:dyDescent="0.2">
      <c r="A110">
        <v>19</v>
      </c>
      <c r="B110" t="s">
        <v>585</v>
      </c>
      <c r="C110" t="s">
        <v>586</v>
      </c>
      <c r="D110" t="s">
        <v>186</v>
      </c>
    </row>
    <row r="111" spans="1:4" x14ac:dyDescent="0.2">
      <c r="A111">
        <v>19</v>
      </c>
      <c r="B111" t="s">
        <v>589</v>
      </c>
      <c r="C111" t="s">
        <v>590</v>
      </c>
      <c r="D111" t="s">
        <v>186</v>
      </c>
    </row>
    <row r="112" spans="1:4" x14ac:dyDescent="0.2">
      <c r="A112">
        <v>20</v>
      </c>
      <c r="B112" t="s">
        <v>593</v>
      </c>
      <c r="C112" t="s">
        <v>594</v>
      </c>
      <c r="D112" t="s">
        <v>186</v>
      </c>
    </row>
    <row r="113" spans="1:4" x14ac:dyDescent="0.2">
      <c r="A113">
        <v>20</v>
      </c>
      <c r="B113" t="s">
        <v>597</v>
      </c>
      <c r="C113" t="s">
        <v>598</v>
      </c>
      <c r="D113" t="s">
        <v>186</v>
      </c>
    </row>
    <row r="114" spans="1:4" x14ac:dyDescent="0.2">
      <c r="A114">
        <v>20</v>
      </c>
      <c r="B114" t="s">
        <v>601</v>
      </c>
      <c r="C114" t="s">
        <v>602</v>
      </c>
      <c r="D114" t="s">
        <v>186</v>
      </c>
    </row>
    <row r="115" spans="1:4" x14ac:dyDescent="0.2">
      <c r="A115">
        <v>20</v>
      </c>
      <c r="B115" t="s">
        <v>605</v>
      </c>
      <c r="C115" t="s">
        <v>606</v>
      </c>
      <c r="D115" t="s">
        <v>186</v>
      </c>
    </row>
    <row r="116" spans="1:4" x14ac:dyDescent="0.2">
      <c r="A116">
        <v>20</v>
      </c>
      <c r="B116" t="s">
        <v>609</v>
      </c>
      <c r="C116" t="s">
        <v>610</v>
      </c>
      <c r="D116" t="s">
        <v>186</v>
      </c>
    </row>
    <row r="117" spans="1:4" x14ac:dyDescent="0.2">
      <c r="A117">
        <v>21</v>
      </c>
      <c r="B117" t="s">
        <v>82</v>
      </c>
      <c r="C117" t="s">
        <v>83</v>
      </c>
      <c r="D117" t="s">
        <v>44</v>
      </c>
    </row>
    <row r="118" spans="1:4" x14ac:dyDescent="0.2">
      <c r="A118">
        <v>21</v>
      </c>
      <c r="B118" t="s">
        <v>85</v>
      </c>
      <c r="C118" t="s">
        <v>86</v>
      </c>
      <c r="D118" t="s">
        <v>44</v>
      </c>
    </row>
    <row r="119" spans="1:4" x14ac:dyDescent="0.2">
      <c r="A119">
        <v>21</v>
      </c>
      <c r="B119" t="s">
        <v>88</v>
      </c>
      <c r="C119" t="s">
        <v>89</v>
      </c>
      <c r="D119" t="s">
        <v>44</v>
      </c>
    </row>
    <row r="120" spans="1:4" x14ac:dyDescent="0.2">
      <c r="A120">
        <v>21</v>
      </c>
      <c r="B120" t="s">
        <v>91</v>
      </c>
      <c r="C120" t="s">
        <v>92</v>
      </c>
      <c r="D120" t="s">
        <v>44</v>
      </c>
    </row>
    <row r="121" spans="1:4" x14ac:dyDescent="0.2">
      <c r="A121">
        <v>21</v>
      </c>
      <c r="B121" t="s">
        <v>94</v>
      </c>
      <c r="C121" t="s">
        <v>95</v>
      </c>
      <c r="D121" t="s">
        <v>44</v>
      </c>
    </row>
    <row r="122" spans="1:4" x14ac:dyDescent="0.2">
      <c r="A122">
        <v>22</v>
      </c>
      <c r="B122" t="s">
        <v>618</v>
      </c>
      <c r="C122" t="s">
        <v>619</v>
      </c>
      <c r="D122" t="s">
        <v>186</v>
      </c>
    </row>
    <row r="123" spans="1:4" x14ac:dyDescent="0.2">
      <c r="A123">
        <v>22</v>
      </c>
      <c r="B123" t="s">
        <v>622</v>
      </c>
      <c r="C123" t="s">
        <v>623</v>
      </c>
      <c r="D123" t="s">
        <v>186</v>
      </c>
    </row>
    <row r="124" spans="1:4" x14ac:dyDescent="0.2">
      <c r="A124">
        <v>22</v>
      </c>
      <c r="B124" t="s">
        <v>626</v>
      </c>
      <c r="C124" t="s">
        <v>627</v>
      </c>
      <c r="D124" t="s">
        <v>186</v>
      </c>
    </row>
    <row r="125" spans="1:4" x14ac:dyDescent="0.2">
      <c r="A125">
        <v>22</v>
      </c>
      <c r="B125" t="s">
        <v>630</v>
      </c>
      <c r="C125" t="s">
        <v>631</v>
      </c>
      <c r="D125" t="s">
        <v>186</v>
      </c>
    </row>
    <row r="126" spans="1:4" x14ac:dyDescent="0.2">
      <c r="A126">
        <v>22</v>
      </c>
      <c r="B126" t="s">
        <v>634</v>
      </c>
      <c r="C126" t="s">
        <v>635</v>
      </c>
      <c r="D126" t="s">
        <v>186</v>
      </c>
    </row>
    <row r="127" spans="1:4" x14ac:dyDescent="0.2">
      <c r="A127">
        <v>22</v>
      </c>
      <c r="B127" t="s">
        <v>638</v>
      </c>
      <c r="C127" t="s">
        <v>639</v>
      </c>
      <c r="D127" t="s">
        <v>186</v>
      </c>
    </row>
    <row r="128" spans="1:4" x14ac:dyDescent="0.2">
      <c r="A128">
        <v>22</v>
      </c>
      <c r="B128" t="s">
        <v>642</v>
      </c>
      <c r="C128" t="s">
        <v>643</v>
      </c>
      <c r="D128" t="s">
        <v>186</v>
      </c>
    </row>
    <row r="129" spans="1:4" x14ac:dyDescent="0.2">
      <c r="A129">
        <v>23</v>
      </c>
      <c r="B129" t="s">
        <v>646</v>
      </c>
      <c r="C129" t="s">
        <v>647</v>
      </c>
      <c r="D129" t="s">
        <v>186</v>
      </c>
    </row>
    <row r="130" spans="1:4" x14ac:dyDescent="0.2">
      <c r="A130">
        <v>23</v>
      </c>
      <c r="B130" t="s">
        <v>650</v>
      </c>
      <c r="C130" t="s">
        <v>651</v>
      </c>
      <c r="D130" t="s">
        <v>186</v>
      </c>
    </row>
    <row r="131" spans="1:4" x14ac:dyDescent="0.2">
      <c r="A131">
        <v>23</v>
      </c>
      <c r="B131" t="s">
        <v>654</v>
      </c>
      <c r="C131" t="s">
        <v>655</v>
      </c>
      <c r="D131" t="s">
        <v>186</v>
      </c>
    </row>
    <row r="132" spans="1:4" x14ac:dyDescent="0.2">
      <c r="A132">
        <v>23</v>
      </c>
      <c r="B132" t="s">
        <v>658</v>
      </c>
      <c r="C132" t="s">
        <v>659</v>
      </c>
      <c r="D132" t="s">
        <v>186</v>
      </c>
    </row>
    <row r="133" spans="1:4" x14ac:dyDescent="0.2">
      <c r="A133">
        <v>23</v>
      </c>
      <c r="B133" t="s">
        <v>662</v>
      </c>
      <c r="C133" t="s">
        <v>663</v>
      </c>
      <c r="D133" t="s">
        <v>186</v>
      </c>
    </row>
    <row r="134" spans="1:4" x14ac:dyDescent="0.2">
      <c r="A134">
        <v>24</v>
      </c>
      <c r="B134" t="s">
        <v>666</v>
      </c>
      <c r="C134" t="s">
        <v>667</v>
      </c>
      <c r="D134" t="s">
        <v>186</v>
      </c>
    </row>
    <row r="135" spans="1:4" x14ac:dyDescent="0.2">
      <c r="A135">
        <v>24</v>
      </c>
      <c r="B135" t="s">
        <v>670</v>
      </c>
      <c r="C135" t="s">
        <v>671</v>
      </c>
      <c r="D135" t="s">
        <v>186</v>
      </c>
    </row>
    <row r="136" spans="1:4" x14ac:dyDescent="0.2">
      <c r="A136">
        <v>24</v>
      </c>
      <c r="B136" t="s">
        <v>674</v>
      </c>
      <c r="C136" t="s">
        <v>675</v>
      </c>
      <c r="D136" t="s">
        <v>186</v>
      </c>
    </row>
    <row r="137" spans="1:4" x14ac:dyDescent="0.2">
      <c r="A137">
        <v>24</v>
      </c>
      <c r="B137" t="s">
        <v>678</v>
      </c>
      <c r="C137" t="s">
        <v>679</v>
      </c>
      <c r="D137" t="s">
        <v>186</v>
      </c>
    </row>
    <row r="138" spans="1:4" x14ac:dyDescent="0.2">
      <c r="A138">
        <v>24</v>
      </c>
      <c r="B138" t="s">
        <v>682</v>
      </c>
      <c r="C138" t="s">
        <v>683</v>
      </c>
      <c r="D138" t="s">
        <v>186</v>
      </c>
    </row>
    <row r="139" spans="1:4" x14ac:dyDescent="0.2">
      <c r="A139">
        <v>24</v>
      </c>
      <c r="B139" t="s">
        <v>686</v>
      </c>
      <c r="C139" t="s">
        <v>687</v>
      </c>
      <c r="D139" t="s">
        <v>186</v>
      </c>
    </row>
    <row r="140" spans="1:4" x14ac:dyDescent="0.2">
      <c r="A140">
        <v>25</v>
      </c>
      <c r="B140" t="s">
        <v>488</v>
      </c>
      <c r="C140" t="s">
        <v>690</v>
      </c>
      <c r="D140" t="s">
        <v>186</v>
      </c>
    </row>
    <row r="141" spans="1:4" x14ac:dyDescent="0.2">
      <c r="A141">
        <v>25</v>
      </c>
      <c r="B141" t="s">
        <v>452</v>
      </c>
      <c r="C141" t="s">
        <v>692</v>
      </c>
      <c r="D141" t="s">
        <v>186</v>
      </c>
    </row>
    <row r="142" spans="1:4" x14ac:dyDescent="0.2">
      <c r="A142">
        <v>25</v>
      </c>
      <c r="B142" t="s">
        <v>456</v>
      </c>
      <c r="C142" t="s">
        <v>694</v>
      </c>
      <c r="D142" t="s">
        <v>186</v>
      </c>
    </row>
    <row r="143" spans="1:4" x14ac:dyDescent="0.2">
      <c r="A143">
        <v>25</v>
      </c>
      <c r="B143" t="s">
        <v>460</v>
      </c>
      <c r="C143" t="s">
        <v>696</v>
      </c>
      <c r="D143" t="s">
        <v>186</v>
      </c>
    </row>
    <row r="144" spans="1:4" x14ac:dyDescent="0.2">
      <c r="A144">
        <v>25</v>
      </c>
      <c r="B144" t="s">
        <v>464</v>
      </c>
      <c r="C144" t="s">
        <v>698</v>
      </c>
      <c r="D144" t="s">
        <v>186</v>
      </c>
    </row>
    <row r="145" spans="1:4" x14ac:dyDescent="0.2">
      <c r="A145">
        <v>25</v>
      </c>
      <c r="B145" t="s">
        <v>468</v>
      </c>
      <c r="C145" t="s">
        <v>700</v>
      </c>
      <c r="D145" t="s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showGridLines="0" tabSelected="1" zoomScale="182" workbookViewId="0">
      <selection activeCell="B10" sqref="B10"/>
    </sheetView>
  </sheetViews>
  <sheetFormatPr baseColWidth="10" defaultColWidth="8.83203125" defaultRowHeight="15" x14ac:dyDescent="0.2"/>
  <cols>
    <col min="1" max="1" width="28" customWidth="1"/>
    <col min="2" max="2" width="110" customWidth="1"/>
  </cols>
  <sheetData>
    <row r="1" spans="1:2" ht="19" x14ac:dyDescent="0.25">
      <c r="A1" s="11" t="s">
        <v>718</v>
      </c>
    </row>
    <row r="3" spans="1:2" x14ac:dyDescent="0.2">
      <c r="A3" s="10" t="s">
        <v>174</v>
      </c>
      <c r="B3" t="s">
        <v>719</v>
      </c>
    </row>
    <row r="4" spans="1:2" x14ac:dyDescent="0.2">
      <c r="A4" s="10" t="s">
        <v>175</v>
      </c>
      <c r="B4" t="s">
        <v>720</v>
      </c>
    </row>
    <row r="5" spans="1:2" x14ac:dyDescent="0.2">
      <c r="A5" s="10" t="s">
        <v>176</v>
      </c>
      <c r="B5" t="s">
        <v>721</v>
      </c>
    </row>
    <row r="6" spans="1:2" x14ac:dyDescent="0.2">
      <c r="A6" s="10" t="s">
        <v>177</v>
      </c>
      <c r="B6" t="s">
        <v>722</v>
      </c>
    </row>
    <row r="7" spans="1:2" x14ac:dyDescent="0.2">
      <c r="A7" s="10" t="s">
        <v>178</v>
      </c>
      <c r="B7" t="s">
        <v>723</v>
      </c>
    </row>
    <row r="8" spans="1:2" x14ac:dyDescent="0.2">
      <c r="A8" s="10" t="s">
        <v>179</v>
      </c>
      <c r="B8" t="s">
        <v>724</v>
      </c>
    </row>
    <row r="9" spans="1:2" x14ac:dyDescent="0.2">
      <c r="A9" s="10" t="s">
        <v>130</v>
      </c>
      <c r="B9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Review_Summary</vt:lpstr>
      <vt:lpstr>Address_Review_List</vt:lpstr>
      <vt:lpstr>Building_Checklist</vt:lpstr>
      <vt:lpstr>Unit_Master</vt:lpstr>
      <vt:lpstr>Board_Dashboard</vt:lpstr>
      <vt:lpstr>Folder_Manifest</vt:lpstr>
      <vt:lpstr>Lists_Control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Nawazuddin Mohammed</cp:lastModifiedBy>
  <dcterms:created xsi:type="dcterms:W3CDTF">2026-04-14T01:41:31Z</dcterms:created>
  <dcterms:modified xsi:type="dcterms:W3CDTF">2026-05-02T05:34:45Z</dcterms:modified>
</cp:coreProperties>
</file>